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esktop\Master_sem1\excel\4-hour-course-xl-files\"/>
    </mc:Choice>
  </mc:AlternateContent>
  <xr:revisionPtr revIDLastSave="0" documentId="13_ncr:1_{8816CB48-29BA-4F61-A17A-99692B8E8B2C}" xr6:coauthVersionLast="47" xr6:coauthVersionMax="47" xr10:uidLastSave="{00000000-0000-0000-0000-000000000000}"/>
  <bookViews>
    <workbookView xWindow="-108" yWindow="-108" windowWidth="23256" windowHeight="12456" activeTab="2" xr2:uid="{26D4546B-D2A1-4444-8EAF-A6228F96F0C1}"/>
  </bookViews>
  <sheets>
    <sheet name="pivot" sheetId="6" r:id="rId1"/>
    <sheet name="Data" sheetId="2" r:id="rId2"/>
    <sheet name="Central_Report" sheetId="5" r:id="rId3"/>
    <sheet name="Assets" sheetId="4" r:id="rId4"/>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443" r:id="rId5"/>
    <pivotCache cacheId="446" r:id="rId6"/>
    <pivotCache cacheId="449" r:id="rId7"/>
    <pivotCache cacheId="452" r:id="rId8"/>
    <pivotCache cacheId="669" r:id="rId9"/>
    <pivotCache cacheId="672" r:id="rId10"/>
    <pivotCache cacheId="675" r:id="rId11"/>
    <pivotCache cacheId="678" r:id="rId12"/>
    <pivotCache cacheId="681" r:id="rId13"/>
  </pivotCaches>
  <fileRecoveryPr repairLoad="1"/>
  <extLst>
    <ext xmlns:x14="http://schemas.microsoft.com/office/spreadsheetml/2009/9/main" uri="{876F7934-8845-4945-9796-88D515C7AA90}">
      <x14:pivotCaches>
        <pivotCache cacheId="455"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3" i="6" l="1"/>
  <c r="K42" i="6"/>
  <c r="K50" i="6" s="1"/>
  <c r="M34" i="5" s="1"/>
  <c r="K37" i="6"/>
  <c r="K36" i="6"/>
  <c r="Q19" i="5" a="1"/>
  <c r="Q19" i="5" s="1"/>
  <c r="P20" i="5" a="1"/>
  <c r="P20" i="5" s="1"/>
  <c r="E40" i="6"/>
  <c r="D34" i="6" a="1"/>
  <c r="D34" i="6" s="1"/>
  <c r="K44" i="6" s="1"/>
  <c r="K47" i="6" s="1"/>
  <c r="K52" i="6" s="1"/>
  <c r="M36" i="5"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K43" i="6" l="1"/>
  <c r="K46" i="6" s="1"/>
  <c r="K51" i="6" s="1"/>
  <c r="M35" i="5" s="1"/>
  <c r="H34" i="6"/>
  <c r="G34" i="6"/>
  <c r="H35" i="6"/>
  <c r="H38" i="6"/>
  <c r="H37" i="6"/>
  <c r="H36" i="6"/>
  <c r="G37" i="6"/>
  <c r="G38" i="6"/>
  <c r="G36" i="6"/>
  <c r="G3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288DF7-B093-4232-A2A7-0E54C328CF5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F037414-1B0C-4E13-9C47-5A238830B656}"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DD731B21-1F36-43D6-97ED-A2CE5A046B98}"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<sst xmlns="http://schemas.openxmlformats.org/spreadsheetml/2006/main" count="3172" uniqueCount="1087">
  <si>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</si>
  <si>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</si>
  <si>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</si>
  <si>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</si>
  <si>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</si>
  <si>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</si>
  <si>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</si>
  <si>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</si>
  <si>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</si>
  <si>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</si>
  <si>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</si>
  <si>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</si>
  <si>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</si>
  <si>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</si>
  <si>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</si>
  <si>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</si>
  <si>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</si>
  <si>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</si>
  <si>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</si>
  <si>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</si>
  <si>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</si>
  <si>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</si>
  <si>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</si>
  <si>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</si>
  <si>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</si>
  <si>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</si>
  <si>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</si>
  <si>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</si>
  <si>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</si>
  <si>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</si>
  <si>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</si>
  <si>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</si>
  <si>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</si>
  <si>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</si>
  <si>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</si>
  <si>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</si>
  <si>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</si>
  <si>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</si>
  <si>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</si>
  <si>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</si>
  <si>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</si>
  <si>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</si>
  <si>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</si>
  <si>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</si>
  <si>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</si>
  <si>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</si>
  <si>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</si>
  <si>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</si>
  <si>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</si>
  <si>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</si>
  <si>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</si>
  <si>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</si>
  <si>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</si>
  <si>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</si>
  <si>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</si>
  <si>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</si>
  <si>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</si>
  <si>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</si>
  <si>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</si>
  <si>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</si>
  <si>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</si>
  <si>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</si>
  <si>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</si>
  <si>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</si>
  <si>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</si>
  <si>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</si>
  <si>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</si>
  <si>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</si>
  <si>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</si>
  <si>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</si>
  <si>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</si>
  <si>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</si>
  <si>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</si>
  <si>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</si>
  <si>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</si>
  <si>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</si>
  <si>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</si>
  <si>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</si>
  <si>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</si>
  <si>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</si>
  <si>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</si>
  <si>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</si>
  <si>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</si>
  <si>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</si>
  <si>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</si>
  <si>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</si>
  <si>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</si>
  <si>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</si>
  <si>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</si>
  <si>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</si>
  <si>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</si>
  <si>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</si>
  <si>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</si>
  <si>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</si>
  <si>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</si>
  <si>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</si>
  <si>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</si>
  <si>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</si>
  <si>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</si>
  <si>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</si>
  <si>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</si>
  <si>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</si>
  <si>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</si>
  <si>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</si>
  <si>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</si>
  <si>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</si>
  <si>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</si>
  <si>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</si>
  <si>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</si>
  <si>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</si>
  <si>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</si>
  <si>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</si>
  <si>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</si>
  <si>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</si>
  <si>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</si>
  <si>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</si>
  <si>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</si>
  <si>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</si>
  <si>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</si>
  <si>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</si>
  <si>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</si>
  <si>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</si>
  <si>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</si>
  <si>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</si>
  <si>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</si>
  <si>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</si>
  <si>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</si>
  <si>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</si>
  <si>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</si>
  <si>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</si>
  <si>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</si>
  <si>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</si>
  <si>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</si>
  <si>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</si>
  <si>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</si>
  <si>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</si>
  <si>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</si>
  <si>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</si>
  <si>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</si>
  <si>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</si>
  <si>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</si>
  <si>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</si>
  <si>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</si>
  <si>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</si>
  <si>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</si>
  <si>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</si>
  <si>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</si>
  <si>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</si>
  <si>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</si>
  <si>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</si>
  <si>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</si>
  <si>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</si>
  <si>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</si>
  <si>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</si>
  <si>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</si>
  <si>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</si>
  <si>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</si>
  <si>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</si>
  <si>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</si>
  <si>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</si>
  <si>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</si>
  <si>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</si>
  <si>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</si>
  <si>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</si>
  <si>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</si>
  <si>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</si>
  <si>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</si>
  <si>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</si>
  <si>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</si>
  <si>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</si>
  <si>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</si>
  <si>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</si>
  <si>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</si>
  <si>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</si>
  <si>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</si>
  <si>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</si>
  <si>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</si>
  <si>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</si>
  <si>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</si>
  <si>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</si>
  <si>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</si>
  <si>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</si>
  <si>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</si>
  <si>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</si>
  <si>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</si>
  <si>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</si>
  <si>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</si>
  <si>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</si>
  <si>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</si>
  <si>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</si>
  <si>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</si>
  <si>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</si>
  <si>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</si>
  <si>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</si>
  <si>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</si>
  <si>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</si>
  <si>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</si>
  <si>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</si>
  <si>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</si>
  <si>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</si>
  <si>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</si>
  <si>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</si>
  <si>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</si>
  <si>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</si>
  <si>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</si>
  <si>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</si>
  <si>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</si>
  <si>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</si>
  <si>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</si>
  <si>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</si>
  <si>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</si>
  <si>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</si>
  <si>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</si>
  <si>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</si>
  <si>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</si>
  <si>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</si>
  <si>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</si>
  <si>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</si>
  <si>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</si>
  <si>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</si>
  <si>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</si>
  <si>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</si>
  <si>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</si>
  <si>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</si>
  <si>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</si>
  <si>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</si>
  <si>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</si>
  <si>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</si>
  <si>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</si>
  <si>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</si>
  <si>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</si>
  <si>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</si>
  <si>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</si>
  <si>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</si>
  <si>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</si>
  <si>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</si>
  <si>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</si>
  <si>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</si>
  <si>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</si>
  <si>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</si>
  <si>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</si>
  <si>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</si>
  <si>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</si>
  <si>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</si>
  <si>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</si>
  <si>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</si>
  <si>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</si>
  <si>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</si>
  <si>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</si>
  <si>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</si>
  <si>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</si>
  <si>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</si>
  <si>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</si>
  <si>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</si>
  <si>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</si>
  <si>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</si>
  <si>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</si>
  <si>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</si>
  <si>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</si>
  <si>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</si>
  <si>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</si>
  <si>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</si>
  <si>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</si>
  <si>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</si>
  <si>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</si>
  <si>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</si>
  <si>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</si>
  <si>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</si>
  <si>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</si>
  <si>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</si>
  <si>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</si>
  <si>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</si>
  <si>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</si>
  <si>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</si>
  <si>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</si>
  <si>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</si>
  <si>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</si>
  <si>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</si>
  <si>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</si>
  <si>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</si>
  <si>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</si>
  <si>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</si>
  <si>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</si>
  <si>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</si>
  <si>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</si>
  <si>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</si>
  <si>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</si>
  <si>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</si>
  <si>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</si>
  <si>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</si>
  <si>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</si>
  <si>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</si>
  <si>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</si>
  <si>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</si>
  <si>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</si>
  <si>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</si>
  <si>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</si>
  <si>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</si>
  <si>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</si>
  <si>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</si>
  <si>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</si>
  <si>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</si>
  <si>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</si>
  <si>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</si>
  <si>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</si>
  <si>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</si>
  <si>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</si>
  <si>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</si>
  <si>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</si>
  <si>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</si>
  <si>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</si>
  <si>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</si>
  <si>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</si>
  <si>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</si>
  <si>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</si>
  <si>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</si>
  <si>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</si>
  <si>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</si>
  <si>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</si>
  <si>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</si>
  <si>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</si>
  <si>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</si>
  <si>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</si>
  <si>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</si>
  <si>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</si>
  <si>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</si>
  <si>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</si>
  <si>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</si>
  <si>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</si>
  <si>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</si>
  <si>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</si>
  <si>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</si>
  <si>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</si>
  <si>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</si>
  <si>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</si>
  <si>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</si>
  <si>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</si>
  <si>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</si>
  <si>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</si>
  <si>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</si>
  <si>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</si>
  <si>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</si>
  <si>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</si>
  <si>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</si>
  <si>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</si>
  <si>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</si>
  <si>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</si>
  <si>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</si>
  <si>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</si>
  <si>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</si>
  <si>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</si>
  <si>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</si>
  <si>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</si>
  <si>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</si>
  <si>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</si>
  <si>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</si>
  <si>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</si>
  <si>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</si>
  <si>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</si>
  <si>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</si>
  <si>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</si>
  <si>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</si>
  <si>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</si>
  <si>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</si>
  <si>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</si>
  <si>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</si>
  <si>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</si>
  <si>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</si>
  <si>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</si>
  <si>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</si>
  <si>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</si>
  <si>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</si>
  <si>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</si>
  <si>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</si>
  <si>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</si>
  <si>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</si>
  <si>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</si>
  <si>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</si>
  <si>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</si>
  <si>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</si>
  <si>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</si>
  <si>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</si>
  <si>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</si>
  <si>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</si>
  <si>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</si>
  <si>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</si>
  <si>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</si>
  <si>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</si>
  <si>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</si>
  <si>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</si>
  <si>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</si>
  <si>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</si>
  <si>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</si>
  <si>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</si>
  <si>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</si>
  <si>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</si>
  <si>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</si>
  <si>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</si>
  <si>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</si>
  <si>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</si>
  <si>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</si>
  <si>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</si>
  <si>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</si>
  <si>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</si>
  <si>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</si>
  <si>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</si>
  <si>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</si>
  <si>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</si>
  <si>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</si>
  <si>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</si>
  <si>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</si>
  <si>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</si>
  <si>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</si>
  <si>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</si>
  <si>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</si>
  <si>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</si>
  <si>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</si>
  <si>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</si>
  <si>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</si>
  <si>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</si>
  <si>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</si>
  <si>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</si>
  <si>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</si>
  <si>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</si>
  <si>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</si>
  <si>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</si>
  <si>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</si>
  <si>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</si>
  <si>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</si>
  <si>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</si>
  <si>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</si>
  <si>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</si>
  <si>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</si>
  <si>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</si>
  <si>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</si>
  <si>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</si>
  <si>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</si>
  <si>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</si>
  <si>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</si>
  <si>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</si>
  <si>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</si>
  <si>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</si>
  <si>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</si>
  <si>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</si>
  <si>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</si>
  <si>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</si>
  <si>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</si>
  <si>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</si>
  <si>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</si>
  <si>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</si>
  <si>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</si>
  <si>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</si>
  <si>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</si>
  <si>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</si>
  <si>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</si>
  <si>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</si>
  <si>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</si>
  <si>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</si>
  <si>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</si>
  <si>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</si>
  <si>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</si>
  <si>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</si>
  <si>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</si>
  <si>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</si>
  <si>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</si>
  <si>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</si>
  <si>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</si>
  <si>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</si>
  <si>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</si>
  <si>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</si>
  <si>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</si>
  <si>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</si>
  <si>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</si>
  <si>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</si>
  <si>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</si>
  <si>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</si>
  <si>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</si>
  <si>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</si>
  <si>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</si>
  <si>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</si>
  <si>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</si>
  <si>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</si>
  <si>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</si>
  <si>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</si>
  <si>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</si>
  <si>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</si>
  <si>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</si>
  <si>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</si>
  <si>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</si>
  <si>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</si>
  <si>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</si>
  <si>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</si>
  <si>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</si>
  <si>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</si>
  <si>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</si>
  <si>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</si>
  <si>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</si>
  <si>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</si>
  <si>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</si>
  <si>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</si>
  <si>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</si>
  <si>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</si>
  <si>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</si>
  <si>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</si>
  <si>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</si>
  <si>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</si>
  <si>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</si>
  <si>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</si>
  <si>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</si>
  <si>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</si>
  <si>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</si>
  <si>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</si>
  <si>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</si>
  <si>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</si>
  <si>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</si>
  <si>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</si>
  <si>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</si>
  <si>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</si>
  <si>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</si>
  <si>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</si>
  <si>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</si>
  <si>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</si>
  <si>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</si>
  <si>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</si>
  <si>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</si>
  <si>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</si>
  <si>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</si>
  <si>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</si>
  <si>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</si>
  <si>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</si>
  <si>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</si>
  <si>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</si>
  <si>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</si>
  <si>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</si>
  <si>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</si>
  <si>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</si>
  <si>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</si>
  <si>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</si>
  <si>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</si>
  <si>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</si>
  <si>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</si>
  <si>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</si>
  <si>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</si>
  <si>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</si>
  <si>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</si>
  <si>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</si>
  <si>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</si>
  <si>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</si>
  <si>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</si>
  <si>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</si>
  <si>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</si>
  <si>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</si>
  <si>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</si>
  <si>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</si>
  <si>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</si>
  <si>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</si>
  <si>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</si>
  <si>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</si>
  <si>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</si>
  <si>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</si>
  <si>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</si>
  <si>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</si>
  <si>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</si>
  <si>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</si>
  <si>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</si>
  <si>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</si>
  <si>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</si>
  <si>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</si>
  <si>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</si>
  <si>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</si>
  <si>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</si>
  <si>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</si>
  <si>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</si>
  <si>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</si>
  <si>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</si>
  <si>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</si>
  <si>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</si>
  <si>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</si>
  <si>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</si>
  <si>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</si>
  <si>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</si>
  <si>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</si>
  <si>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</si>
  <si>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</si>
  <si>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</si>
  <si>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</si>
  <si>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</si>
  <si>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</si>
  <si>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</si>
  <si>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</si>
  <si>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</si>
  <si>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</si>
  <si>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</si>
  <si>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</si>
  <si>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</si>
  <si>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</si>
  <si>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</si>
  <si>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</si>
  <si>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</si>
  <si>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</si>
  <si>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</si>
  <si>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</si>
  <si>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</si>
  <si>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</si>
  <si>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</si>
  <si>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</si>
  <si>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</si>
  <si>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</si>
  <si>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</si>
  <si>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</si>
  <si>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</si>
  <si>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</si>
  <si>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</si>
  <si>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</si>
  <si>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</si>
  <si>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</si>
  <si>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</si>
  <si>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</si>
  <si>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</si>
  <si>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</si>
  <si>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</si>
  <si>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</si>
  <si>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</si>
  <si>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</si>
  <si>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</si>
  <si>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</si>
  <si>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</si>
  <si>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</si>
  <si>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</si>
  <si>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</si>
  <si>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</si>
  <si>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</si>
  <si>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</si>
  <si>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</si>
  <si>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</si>
  <si>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</si>
  <si>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</si>
  <si>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</si>
  <si>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</si>
  <si>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</si>
  <si>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</si>
  <si>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</si>
  <si>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</si>
  <si>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</si>
  <si>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</si>
  <si>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</si>
  <si>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</si>
  <si>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</si>
  <si>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</si>
  <si>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</si>
  <si>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</si>
  <si>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</si>
  <si>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</si>
  <si>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</si>
  <si>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</si>
  <si>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</si>
  <si>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</si>
  <si>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</si>
  <si>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</si>
  <si>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</si>
  <si>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</si>
  <si>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</si>
  <si>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</si>
  <si>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</si>
  <si>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</si>
  <si>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</si>
  <si>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</si>
  <si>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</si>
  <si>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</si>
  <si>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</si>
  <si>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</si>
  <si>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</si>
  <si>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</si>
  <si>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</si>
  <si>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</si>
  <si>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</si>
  <si>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</si>
  <si>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</si>
  <si>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</si>
  <si>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</si>
  <si>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</si>
  <si>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</si>
  <si>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</si>
  <si>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</si>
  <si>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</si>
  <si>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</si>
  <si>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</si>
  <si>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</si>
  <si>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</si>
  <si>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</si>
  <si>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</si>
  <si>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</si>
  <si>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</si>
  <si>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</si>
  <si>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</si>
  <si>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</si>
  <si>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</si>
  <si>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</si>
  <si>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</si>
  <si>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</si>
  <si>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</si>
  <si>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</si>
  <si>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</si>
  <si>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</si>
  <si>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</si>
  <si>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</si>
  <si>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</si>
  <si>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</si>
  <si>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</si>
  <si>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</si>
  <si>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</si>
  <si>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</si>
  <si>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</si>
  <si>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</si>
  <si>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</si>
  <si>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</si>
  <si>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</si>
  <si>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</si>
  <si>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</si>
  <si>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</si>
  <si>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</si>
  <si>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</si>
  <si>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</si>
  <si>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</si>
  <si>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</si>
  <si>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</si>
  <si>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</si>
  <si>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</si>
  <si>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</si>
  <si>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</si>
  <si>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</si>
  <si>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</si>
  <si>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</si>
  <si>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</si>
  <si>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</si>
  <si>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</si>
  <si>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</si>
  <si>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</si>
  <si>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</si>
  <si>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</si>
  <si>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</si>
  <si>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</si>
  <si>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</si>
  <si>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</si>
  <si>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</si>
  <si>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</si>
  <si>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</si>
  <si>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</si>
  <si>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</si>
  <si>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</si>
  <si>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</si>
  <si>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</si>
  <si>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</si>
  <si>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</si>
  <si>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</si>
  <si>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</si>
  <si>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</si>
  <si>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</si>
  <si>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</si>
  <si>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</si>
  <si>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</si>
  <si>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</si>
  <si>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</si>
  <si>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</si>
  <si>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</si>
  <si>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</si>
  <si>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</si>
  <si>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</si>
  <si>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</si>
  <si>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</si>
  <si>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</si>
  <si>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</si>
  <si>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</si>
  <si>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</si>
  <si>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</si>
  <si>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</si>
  <si>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</si>
  <si>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</si>
  <si>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</si>
  <si>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</si>
  <si>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</si>
  <si>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</si>
  <si>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</si>
  <si>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</si>
  <si>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</si>
  <si>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</si>
  <si>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</si>
  <si>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</si>
  <si>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</si>
  <si>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</si>
  <si>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</si>
  <si>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</si>
  <si>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</si>
  <si>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</si>
  <si>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</si>
  <si>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</si>
  <si>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</si>
  <si>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</si>
  <si>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</si>
  <si>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</si>
  <si>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</si>
  <si>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</si>
  <si>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</si>
  <si>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</si>
  <si>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</si>
  <si>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</si>
  <si>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</si>
  <si>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</si>
  <si>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</si>
  <si>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</si>
  <si>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</si>
  <si>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</si>
  <si>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</si>
  <si>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</si>
  <si>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</si>
  <si>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</si>
  <si>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</si>
  <si>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</si>
  <si>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</si>
  <si>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</si>
  <si>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</si>
  <si>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</si>
  <si>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</si>
  <si>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</si>
  <si>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</si>
  <si>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</si>
  <si>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</si>
  <si>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</si>
  <si>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</si>
  <si>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</si>
  <si>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</si>
  <si>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</si>
  <si>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</si>
  <si>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</si>
  <si>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</si>
  <si>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</si>
  <si>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</si>
  <si>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</si>
  <si>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</si>
  <si>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</si>
  <si>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</si>
  <si>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</si>
  <si>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</si>
  <si>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</si>
  <si>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</si>
  <si>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</si>
  <si>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</si>
  <si>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</si>
  <si>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</si>
  <si>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</si>
  <si>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</si>
  <si>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</si>
  <si>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</si>
  <si>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</si>
  <si>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</si>
  <si>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</si>
  <si>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</si>
  <si>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</si>
  <si>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</si>
  <si>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</si>
  <si>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</si>
  <si>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</si>
  <si>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</si>
  <si>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</si>
  <si>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</si>
  <si>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</si>
  <si>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</si>
  <si>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</si>
  <si>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</si>
  <si>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</si>
  <si>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</si>
  <si>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</si>
  <si>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</si>
  <si>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</si>
  <si>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</si>
  <si>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</si>
  <si>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</si>
  <si>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</si>
  <si>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</si>
  <si>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</si>
  <si>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</si>
  <si>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</si>
  <si>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</si>
  <si>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</si>
  <si>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</si>
  <si>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</si>
  <si>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</si>
  <si>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</si>
  <si>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</si>
  <si>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</si>
  <si>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</si>
  <si>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</si>
  <si>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</si>
  <si>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</si>
  <si>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</si>
  <si>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</si>
  <si>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</si>
  <si>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</si>
  <si>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</si>
  <si>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</si>
  <si>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</si>
  <si>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</si>
  <si>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</si>
  <si>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</si>
  <si>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</si>
  <si>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</si>
  <si>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</si>
  <si>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</si>
  <si>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</si>
  <si>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</si>
  <si>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</si>
  <si>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</si>
  <si>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</si>
  <si>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</si>
  <si>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</si>
  <si>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</si>
  <si>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</si>
  <si>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</si>
  <si>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</si>
  <si>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</si>
  <si>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</si>
  <si>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</si>
  <si>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</si>
  <si>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</si>
  <si>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</si>
  <si>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</si>
  <si>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</si>
  <si>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</si>
  <si>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</si>
  <si>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</si>
  <si>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</si>
  <si>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</si>
  <si>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</si>
  <si>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</si>
  <si>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</si>
  <si>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</si>
  <si>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</si>
  <si>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</si>
  <si>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</si>
  <si>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</si>
  <si>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</si>
  <si>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</si>
  <si>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</si>
  <si>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</si>
  <si>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</si>
  <si>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</si>
  <si>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</si>
  <si>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</si>
  <si>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</si>
  <si>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</si>
  <si>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</si>
  <si>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</si>
  <si>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</si>
  <si>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</si>
  <si>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</si>
  <si>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</si>
  <si>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</si>
  <si>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</si>
  <si>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</si>
  <si>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</si>
  <si>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</si>
  <si>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</si>
  <si>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</si>
  <si>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</si>
  <si>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</si>
  <si>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</si>
  <si>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</si>
  <si>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</si>
  <si>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</si>
  <si>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</si>
  <si>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</si>
  <si>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</si>
  <si>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</si>
  <si>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</si>
  <si>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</si>
  <si>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</si>
  <si>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</si>
  <si>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</si>
  <si>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</si>
  <si>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</si>
  <si>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</si>
  <si>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</si>
  <si>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</si>
  <si>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</si>
  <si>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</si>
  <si>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</si>
  <si>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</si>
  <si>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</si>
  <si>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</si>
  <si>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</si>
  <si>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</si>
  <si>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</si>
  <si>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</si>
  <si>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</si>
  <si>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</si>
  <si>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</si>
  <si>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</si>
  <si>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</si>
  <si>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</si>
  <si>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</si>
  <si>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</si>
  <si>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</si>
  <si>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</si>
  <si>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</si>
  <si>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</si>
  <si>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</si>
  <si>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</si>
  <si>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</si>
  <si>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</si>
  <si>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</si>
  <si>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</si>
  <si>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</si>
  <si>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</si>
  <si>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</si>
  <si>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</si>
  <si>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</si>
  <si>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</si>
  <si>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</si>
  <si>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</si>
  <si>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</si>
  <si>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</si>
  <si>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</si>
  <si>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</si>
  <si>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</si>
  <si>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</si>
  <si>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</si>
  <si>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</si>
  <si>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</si>
  <si>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</si>
  <si>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</si>
  <si>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</si>
  <si>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</si>
  <si>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</si>
  <si>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</si>
  <si>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</si>
  <si>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</si>
  <si>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</si>
  <si>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</si>
  <si>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</si>
  <si>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</si>
  <si>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</si>
  <si>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</si>
  <si>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</si>
  <si>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 xml:space="preserve">Total Amount </t>
  </si>
  <si>
    <t xml:space="preserve">Total Duration </t>
  </si>
  <si>
    <t xml:space="preserve">Avg-Rating </t>
  </si>
  <si>
    <t>5*Calls</t>
  </si>
  <si>
    <t>Grand Total</t>
  </si>
  <si>
    <t>Jan</t>
  </si>
  <si>
    <t>Feb</t>
  </si>
  <si>
    <t>Mar</t>
  </si>
  <si>
    <t>Apr</t>
  </si>
  <si>
    <t>May</t>
  </si>
  <si>
    <t>Jun</t>
  </si>
  <si>
    <t>Jul</t>
  </si>
  <si>
    <t>Aug</t>
  </si>
  <si>
    <t>Sep</t>
  </si>
  <si>
    <t>Oct</t>
  </si>
  <si>
    <t>Nov</t>
  </si>
  <si>
    <t>Dec</t>
  </si>
  <si>
    <t>Row Labels</t>
  </si>
  <si>
    <t>Call Count2</t>
  </si>
  <si>
    <t>Friday</t>
  </si>
  <si>
    <t>Monday</t>
  </si>
  <si>
    <t>Saturday</t>
  </si>
  <si>
    <t>Sunday</t>
  </si>
  <si>
    <t>Thursday</t>
  </si>
  <si>
    <t>Tuesday</t>
  </si>
  <si>
    <t>Wednesday</t>
  </si>
  <si>
    <t>Reps</t>
  </si>
  <si>
    <t>Amount</t>
  </si>
  <si>
    <t>Sel Calls</t>
  </si>
  <si>
    <t>Sel.Amount</t>
  </si>
  <si>
    <t>Calls</t>
  </si>
  <si>
    <t xml:space="preserve">SELECTED REP </t>
  </si>
  <si>
    <t>Column Labels</t>
  </si>
  <si>
    <t xml:space="preserve">     TOTAL</t>
  </si>
  <si>
    <t xml:space="preserve"> </t>
  </si>
  <si>
    <t xml:space="preserve">Rep Summary </t>
  </si>
  <si>
    <t>% of calls</t>
  </si>
  <si>
    <t xml:space="preserve">Call Rank </t>
  </si>
  <si>
    <t xml:space="preserve">Amount Rank </t>
  </si>
  <si>
    <t xml:space="preserve">Calls </t>
  </si>
  <si>
    <t xml:space="preserve">Amount </t>
  </si>
  <si>
    <t xml:space="preserve">Labels: </t>
  </si>
  <si>
    <t xml:space="preserve">Image: </t>
  </si>
  <si>
    <t>CALL CENTER REPORT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</si>
</sst>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0;\-\$#,##0;\$#,##0"/>
    <numFmt numFmtId="166" formatCode="0.0"/>
    <numFmt numFmtId="167" formatCode="\$#,###.0,&quot;k&quot;"/>
    <numFmt numFmtId="168" formatCode="\$##.#\k"/>
    <numFmt numFmtId="169" formatCode="&quot;₹&quot;\ #,##0"/>
  </numFmts>
  <fonts count="9"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b/>
      <sz val="12"/>
      <color theme="1"/>
      <name val="Aptos"/>
      <family val="2"/>
      <scheme val="minor"/>
    </font>
    <font>
      <b/>
      <sz val="11"/>
      <color theme="4" tint="-0.499984740745262"/>
      <name val="Aptos"/>
      <family val="2"/>
      <scheme val="minor"/>
    </font>
    <font>
      <b/>
      <sz val="24"/>
      <color theme="4" tint="-0.499984740745262"/>
      <name val="Aptos"/>
      <family val="2"/>
      <scheme val="minor"/>
    </font>
    <font>
      <b/>
      <sz val="12"/>
      <color theme="4" tint="-0.499984740745262"/>
      <name val="Aptos"/>
      <family val="2"/>
      <scheme val="minor"/>
    </font>
  </fonts>
  <fills count="5">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2">
    <xf numFmtId="0" fontId="0" fillId="0" borderId="0"/>
    <xf numFmtId="9" fontId="4" fillId="0" borderId="0" applyFont="0" applyFill="0" applyBorder="0" applyAlignment="0" applyProtection="0"/>
  </cellStyleXfs>
  <cellXfs count="48">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0" fontId="0" fillId="0" borderId="0" xfId="0" applyAlignment="1">
      <alignment horizontal="left" indent="1"/>
    </xf>
    <xf numFmtId="0" fontId="0" fillId="4" borderId="10" xfId="0" applyFill="1" applyBorder="1" applyAlignment="1">
      <alignment horizontal="center" vertical="top"/>
    </xf>
    <xf numFmtId="0" fontId="0" fillId="4" borderId="13" xfId="0" applyFill="1" applyBorder="1" applyAlignment="1">
      <alignment horizontal="center" vertical="top"/>
    </xf>
    <xf numFmtId="0" fontId="0" fillId="4" borderId="0" xfId="0" applyFill="1" applyAlignment="1">
      <alignment vertical="top"/>
    </xf>
    <xf numFmtId="0" fontId="0" fillId="4" borderId="14" xfId="0" applyFill="1" applyBorder="1" applyAlignment="1">
      <alignment vertical="top"/>
    </xf>
    <xf numFmtId="169" fontId="0" fillId="4" borderId="0" xfId="0" applyNumberFormat="1" applyFill="1" applyAlignment="1">
      <alignment vertical="top"/>
    </xf>
    <xf numFmtId="169" fontId="0" fillId="4" borderId="14" xfId="0" applyNumberFormat="1" applyFill="1" applyBorder="1" applyAlignment="1">
      <alignment vertical="top"/>
    </xf>
    <xf numFmtId="0" fontId="0" fillId="4" borderId="15" xfId="0" applyFill="1" applyBorder="1" applyAlignment="1">
      <alignment horizontal="center" vertical="top"/>
    </xf>
    <xf numFmtId="169" fontId="0" fillId="4" borderId="16" xfId="0" applyNumberFormat="1" applyFill="1" applyBorder="1" applyAlignment="1">
      <alignment vertical="top"/>
    </xf>
    <xf numFmtId="169" fontId="0" fillId="4" borderId="17" xfId="0" applyNumberFormat="1" applyFill="1" applyBorder="1" applyAlignment="1">
      <alignment vertical="top"/>
    </xf>
    <xf numFmtId="0" fontId="5" fillId="4" borderId="11" xfId="0" applyFont="1" applyFill="1" applyBorder="1" applyAlignment="1">
      <alignment horizontal="center" vertical="top"/>
    </xf>
    <xf numFmtId="0" fontId="5" fillId="4" borderId="12" xfId="0" applyFont="1" applyFill="1" applyBorder="1" applyAlignment="1">
      <alignment vertical="top"/>
    </xf>
    <xf numFmtId="0" fontId="1" fillId="4" borderId="13" xfId="0" applyFont="1" applyFill="1" applyBorder="1" applyAlignment="1">
      <alignment horizontal="left" vertical="center"/>
    </xf>
    <xf numFmtId="0" fontId="1" fillId="4" borderId="13" xfId="0" applyFont="1" applyFill="1" applyBorder="1" applyAlignment="1">
      <alignment horizontal="left" vertical="top"/>
    </xf>
    <xf numFmtId="9" fontId="0" fillId="0" borderId="0" xfId="1" applyFont="1"/>
    <xf numFmtId="0" fontId="0" fillId="3" borderId="0" xfId="0" applyFill="1" applyAlignment="1">
      <alignment horizontal="center"/>
    </xf>
    <xf numFmtId="0" fontId="6" fillId="3" borderId="0" xfId="0" applyFont="1" applyFill="1"/>
    <xf numFmtId="0" fontId="7" fillId="3" borderId="0" xfId="0" applyFont="1" applyFill="1" applyAlignment="1">
      <alignment horizontal="center"/>
    </xf>
    <xf numFmtId="0" fontId="0" fillId="0" borderId="0" xfId="0" applyNumberFormat="1"/>
    <xf numFmtId="0" fontId="8" fillId="3" borderId="0" xfId="0" applyFont="1" applyFill="1"/>
  </cellXfs>
  <cellStyles count="2">
    <cellStyle name="Normal" xfId="0" builtinId="0"/>
    <cellStyle name="Percent" xfId="1" builtinId="5"/>
  </cellStyles>
  <dxfs count="31">
    <dxf>
      <fill>
        <patternFill>
          <bgColor theme="8" tint="0.59996337778862885"/>
        </patternFill>
      </fill>
      <border>
        <left style="thin">
          <color theme="8" tint="-0.24994659260841701"/>
        </left>
        <right style="thin">
          <color theme="8" tint="-0.24994659260841701"/>
        </right>
        <vertical/>
        <horizontal/>
      </border>
    </dxf>
    <dxf>
      <fill>
        <patternFill>
          <bgColor theme="8" tint="0.59996337778862885"/>
        </patternFill>
      </fill>
      <border>
        <left style="thin">
          <color theme="8" tint="-0.24994659260841701"/>
        </left>
        <right style="thin">
          <color theme="8" tint="-0.24994659260841701"/>
        </right>
        <vertical/>
        <horizontal/>
      </border>
    </dxf>
    <dxf>
      <numFmt numFmtId="168" formatCode="\$##.#\k"/>
    </dxf>
    <dxf>
      <numFmt numFmtId="167" formatCode="\$#,###.0,&quot;k&quot;"/>
    </dxf>
    <dxf>
      <numFmt numFmtId="168" formatCode="\$##.#\k"/>
    </dxf>
    <dxf>
      <numFmt numFmtId="167" formatCode="\$#,###.0,&quot;k&quot;"/>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67" formatCode="\$#,###.0,&quot;k&quot;"/>
    </dxf>
    <dxf>
      <numFmt numFmtId="168" formatCode="\$##.#\k"/>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5" defaultTableStyle="TableStyleMedium2" defaultPivotStyle="PivotStyleLight16">
    <tableStyle name="Slicer Style 1" pivot="0" table="0" count="1" xr9:uid="{25BABDA2-DB3D-41F6-98D0-3EE7CBB0176F}">
      <tableStyleElement type="wholeTable" dxfId="30"/>
    </tableStyle>
    <tableStyle name="SlicerStyleDark1 2" pivot="0" table="0" count="10" xr9:uid="{9571B271-B261-4295-A4C8-81BED9CBF641}">
      <tableStyleElement type="wholeTable" dxfId="29"/>
      <tableStyleElement type="headerRow" dxfId="28"/>
    </tableStyle>
    <tableStyle name="SlicerStyleDark1 3" pivot="0" table="0" count="10" xr9:uid="{25A0F6A9-F2A7-428D-871F-E68A23A1EE50}">
      <tableStyleElement type="wholeTable" dxfId="27"/>
      <tableStyleElement type="headerRow" dxfId="26"/>
    </tableStyle>
    <tableStyle name="SlicerStyleLight1 2" pivot="0" table="0" count="10" xr9:uid="{1FA51999-0807-4E9D-90F0-6340B3725217}">
      <tableStyleElement type="wholeTable" dxfId="25"/>
      <tableStyleElement type="headerRow" dxfId="24"/>
    </tableStyle>
    <tableStyle name="SlicerStyleLight1 2 2" pivot="0" table="0" count="10" xr9:uid="{34AE5E28-1021-4BD2-8C9D-7DCA7953E525}">
      <tableStyleElement type="wholeTable" dxfId="23"/>
      <tableStyleElement type="headerRow" dxfId="22"/>
    </tableStyle>
  </tableStyles>
  <colors>
    <mruColors>
      <color rgb="FFFF66CC"/>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1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22/10/relationships/richValueRel" Target="richData/richValueRel.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[07.sample-data-excel-portfolio-project.xlsx]pivot!Monthly trend </c:name>
    <c:fmtId val="9"/>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IN" sz="1800" b="1">
                <a:solidFill>
                  <a:schemeClr val="accent1">
                    <a:lumMod val="75000"/>
                  </a:schemeClr>
                </a:solidFill>
              </a:rPr>
              <a:t>Call</a:t>
            </a:r>
            <a:r>
              <a:rPr lang="en-IN" sz="1800" b="1" baseline="0">
                <a:solidFill>
                  <a:schemeClr val="accent1">
                    <a:lumMod val="75000"/>
                  </a:schemeClr>
                </a:solidFill>
              </a:rPr>
              <a:t> Trend</a:t>
            </a:r>
            <a:endParaRPr lang="en-IN" sz="1800" b="1">
              <a:solidFill>
                <a:schemeClr val="accent1">
                  <a:lumMod val="75000"/>
                </a:schemeClr>
              </a:solidFill>
            </a:endParaRPr>
          </a:p>
        </c:rich>
      </c:tx>
      <c:layout>
        <c:manualLayout>
          <c:xMode val="edge"/>
          <c:yMode val="edge"/>
          <c:x val="2.9431657739629323E-2"/>
          <c:y val="2.34876626890525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45000"/>
                  <a:lumOff val="55000"/>
                </a:schemeClr>
              </a:gs>
              <a:gs pos="100000">
                <a:schemeClr val="accent6">
                  <a:lumMod val="20000"/>
                  <a:lumOff val="80000"/>
                  <a:alpha val="50000"/>
                </a:schemeClr>
              </a:gs>
              <a:gs pos="100000">
                <a:schemeClr val="accent1">
                  <a:lumMod val="30000"/>
                  <a:lumOff val="70000"/>
                </a:schemeClr>
              </a:gs>
            </a:gsLst>
            <a:lin ang="5400000" scaled="1"/>
            <a:tileRect/>
          </a:gradFill>
          <a:ln w="2540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pivot!$C$17</c:f>
              <c:strCache>
                <c:ptCount val="1"/>
                <c:pt idx="0">
                  <c:v>Call Count</c:v>
                </c:pt>
              </c:strCache>
            </c:strRef>
          </c:tx>
          <c:spPr>
            <a:gradFill flip="none" rotWithShape="1">
              <a:gsLst>
                <a:gs pos="0">
                  <a:schemeClr val="accent1">
                    <a:lumMod val="45000"/>
                    <a:lumOff val="55000"/>
                  </a:schemeClr>
                </a:gs>
                <a:gs pos="100000">
                  <a:schemeClr val="accent6">
                    <a:lumMod val="20000"/>
                    <a:lumOff val="80000"/>
                    <a:alpha val="50000"/>
                  </a:schemeClr>
                </a:gs>
                <a:gs pos="100000">
                  <a:schemeClr val="accent1">
                    <a:lumMod val="30000"/>
                    <a:lumOff val="70000"/>
                  </a:schemeClr>
                </a:gs>
              </a:gsLst>
              <a:lin ang="5400000" scaled="1"/>
              <a:tileRect/>
            </a:gradFill>
            <a:ln w="25400">
              <a:solidFill>
                <a:schemeClr val="accent1"/>
              </a:solidFill>
            </a:ln>
            <a:effectLst/>
          </c:spPr>
          <c:cat>
            <c:strRef>
              <c:f>pivot!$A$18:$A$30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pivot!$C$18:$C$30</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BECA-4B99-8F90-FCD70EE22DC6}"/>
            </c:ext>
          </c:extLst>
        </c:ser>
        <c:dLbls>
          <c:showLegendKey val="0"/>
          <c:showVal val="0"/>
          <c:showCatName val="0"/>
          <c:showSerName val="0"/>
          <c:showPercent val="0"/>
          <c:showBubbleSize val="0"/>
        </c:dLbls>
        <c:axId val="1197269488"/>
        <c:axId val="1197261328"/>
      </c:areaChart>
      <c:lineChart>
        <c:grouping val="standard"/>
        <c:varyColors val="0"/>
        <c:ser>
          <c:idx val="0"/>
          <c:order val="0"/>
          <c:tx>
            <c:strRef>
              <c:f>pivot!$B$17</c:f>
              <c:strCache>
                <c:ptCount val="1"/>
                <c:pt idx="0">
                  <c:v>Call Count2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pivot!$B$18:$B$30</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BECA-4B99-8F90-FCD70EE22DC6}"/>
            </c:ext>
          </c:extLst>
        </c:ser>
        <c:dLbls>
          <c:showLegendKey val="0"/>
          <c:showVal val="0"/>
          <c:showCatName val="0"/>
          <c:showSerName val="0"/>
          <c:showPercent val="0"/>
          <c:showBubbleSize val="0"/>
        </c:dLbls>
        <c:marker val="1"/>
        <c:smooth val="0"/>
        <c:axId val="1197269488"/>
        <c:axId val="1197261328"/>
      </c:lineChart>
      <c:catAx>
        <c:axId val="119726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61328"/>
        <c:crosses val="autoZero"/>
        <c:auto val="1"/>
        <c:lblAlgn val="ctr"/>
        <c:lblOffset val="100"/>
        <c:noMultiLvlLbl val="0"/>
      </c:catAx>
      <c:valAx>
        <c:axId val="1197261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6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[07.sample-data-excel-portfolio-project.xlsx]pivot!Weekday Trend</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pivot!$G$17</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pivot!$F$18:$F$25</c:f>
              <c:strCache>
                <c:ptCount val="7"/>
                <c:pt idx="0">
                  <c:v>Sunday</c:v>
                </c:pt>
                <c:pt idx="1">
                  <c:v>Monday</c:v>
                </c:pt>
                <c:pt idx="2">
                  <c:v>Tuesday</c:v>
                </c:pt>
                <c:pt idx="3">
                  <c:v>Wednesday</c:v>
                </c:pt>
                <c:pt idx="4">
                  <c:v>Thursday</c:v>
                </c:pt>
                <c:pt idx="5">
                  <c:v>Friday</c:v>
                </c:pt>
                <c:pt idx="6">
                  <c:v>Saturday</c:v>
                </c:pt>
              </c:strCache>
            </c:strRef>
          </c:cat>
          <c:val>
            <c:numRef>
              <c:f>pivot!$G$18:$G$25</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F62B-40FF-A5DC-FB452ACA592F}"/>
            </c:ext>
          </c:extLst>
        </c:ser>
        <c:dLbls>
          <c:showLegendKey val="0"/>
          <c:showVal val="0"/>
          <c:showCatName val="0"/>
          <c:showSerName val="0"/>
          <c:showPercent val="0"/>
          <c:showBubbleSize val="0"/>
        </c:dLbls>
        <c:gapWidth val="30"/>
        <c:axId val="1197287728"/>
        <c:axId val="1197295888"/>
      </c:barChart>
      <c:catAx>
        <c:axId val="119728772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95888"/>
        <c:crosses val="autoZero"/>
        <c:auto val="1"/>
        <c:lblAlgn val="ctr"/>
        <c:lblOffset val="100"/>
        <c:noMultiLvlLbl val="0"/>
      </c:catAx>
      <c:valAx>
        <c:axId val="1197295888"/>
        <c:scaling>
          <c:orientation val="minMax"/>
        </c:scaling>
        <c:delete val="1"/>
        <c:axPos val="t"/>
        <c:numFmt formatCode="#,##0" sourceLinked="1"/>
        <c:majorTickMark val="out"/>
        <c:minorTickMark val="none"/>
        <c:tickLblPos val="nextTo"/>
        <c:crossAx val="119728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accent1"/>
                </a:solidFill>
                <a:latin typeface="+mn-lt"/>
                <a:ea typeface="+mn-ea"/>
                <a:cs typeface="+mn-cs"/>
              </a:defRPr>
            </a:pPr>
            <a:r>
              <a:rPr lang="en-IN" sz="1800" b="1">
                <a:solidFill>
                  <a:schemeClr val="accent1"/>
                </a:solidFill>
              </a:rPr>
              <a:t>Cal</a:t>
            </a:r>
            <a:r>
              <a:rPr lang="en-IN" sz="1800" b="1" i="0">
                <a:solidFill>
                  <a:schemeClr val="accent1"/>
                </a:solidFill>
              </a:rPr>
              <a:t>l</a:t>
            </a:r>
            <a:r>
              <a:rPr lang="en-IN" sz="1800" b="1">
                <a:solidFill>
                  <a:schemeClr val="accent1"/>
                </a:solidFill>
              </a:rPr>
              <a:t>s</a:t>
            </a:r>
            <a:r>
              <a:rPr lang="en-IN" sz="1800" b="1" baseline="0">
                <a:solidFill>
                  <a:schemeClr val="accent1">
                    <a:lumMod val="75000"/>
                  </a:schemeClr>
                </a:solidFill>
              </a:rPr>
              <a:t> </a:t>
            </a:r>
            <a:endParaRPr lang="en-IN" sz="1800" b="1">
              <a:solidFill>
                <a:schemeClr val="accent1">
                  <a:lumMod val="75000"/>
                </a:schemeClr>
              </a:solidFill>
            </a:endParaRPr>
          </a:p>
        </c:rich>
      </c:tx>
      <c:layout>
        <c:manualLayout>
          <c:xMode val="edge"/>
          <c:yMode val="edge"/>
          <c:x val="0.26701992853117723"/>
          <c:y val="3.0938332767623079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1"/>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pivot!$D$34:$D$38</c:f>
              <c:strCache>
                <c:ptCount val="5"/>
                <c:pt idx="0">
                  <c:v>R01</c:v>
                </c:pt>
                <c:pt idx="1">
                  <c:v>R02</c:v>
                </c:pt>
                <c:pt idx="2">
                  <c:v>R03</c:v>
                </c:pt>
                <c:pt idx="3">
                  <c:v>R04</c:v>
                </c:pt>
                <c:pt idx="4">
                  <c:v>R05</c:v>
                </c:pt>
              </c:strCache>
            </c:strRef>
          </c:cat>
          <c:val>
            <c:numRef>
              <c:f>pivot!$F$34:$F$38</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16D4-4A65-9AC8-F69A247FE0E7}"/>
            </c:ext>
          </c:extLst>
        </c:ser>
        <c:ser>
          <c:idx val="1"/>
          <c:order val="1"/>
          <c:tx>
            <c:strRef>
              <c:f>pivot!$G$33</c:f>
              <c:strCache>
                <c:ptCount val="1"/>
                <c:pt idx="0">
                  <c:v>Sel Calls</c:v>
                </c:pt>
              </c:strCache>
            </c:strRef>
          </c:tx>
          <c:spPr>
            <a:gradFill flip="none" rotWithShape="1">
              <a:gsLst>
                <a:gs pos="1000">
                  <a:schemeClr val="accent1"/>
                </a:gs>
                <a:gs pos="100000">
                  <a:srgbClr val="FADBEC"/>
                </a:gs>
                <a:gs pos="100000">
                  <a:schemeClr val="accent1">
                    <a:lumMod val="20000"/>
                    <a:lumOff val="80000"/>
                  </a:schemeClr>
                </a:gs>
                <a:gs pos="14000">
                  <a:schemeClr val="accent1"/>
                </a:gs>
                <a:gs pos="93000">
                  <a:schemeClr val="accent1">
                    <a:lumMod val="20000"/>
                    <a:lumOff val="80000"/>
                  </a:schemeClr>
                </a:gs>
                <a:gs pos="96000">
                  <a:schemeClr val="accent1">
                    <a:lumMod val="40000"/>
                    <a:lumOff val="60000"/>
                  </a:schemeClr>
                </a:gs>
              </a:gsLst>
              <a:lin ang="5400000" scaled="1"/>
              <a:tileRect/>
            </a:gradFill>
            <a:ln>
              <a:noFill/>
            </a:ln>
            <a:effectLst/>
          </c:spPr>
          <c:invertIfNegative val="0"/>
          <c:dPt>
            <c:idx val="1"/>
            <c:invertIfNegative val="0"/>
            <c:bubble3D val="0"/>
            <c:spPr>
              <a:gradFill flip="none" rotWithShape="1">
                <a:gsLst>
                  <a:gs pos="1000">
                    <a:schemeClr val="accent1"/>
                  </a:gs>
                  <a:gs pos="100000">
                    <a:srgbClr val="FADBEC"/>
                  </a:gs>
                  <a:gs pos="100000">
                    <a:schemeClr val="accent1">
                      <a:lumMod val="20000"/>
                      <a:lumOff val="80000"/>
                    </a:schemeClr>
                  </a:gs>
                  <a:gs pos="14000">
                    <a:schemeClr val="accent1"/>
                  </a:gs>
                  <a:gs pos="93000">
                    <a:schemeClr val="accent1">
                      <a:lumMod val="20000"/>
                      <a:lumOff val="80000"/>
                    </a:schemeClr>
                  </a:gs>
                  <a:gs pos="96000">
                    <a:schemeClr val="accent1">
                      <a:lumMod val="40000"/>
                      <a:lumOff val="60000"/>
                    </a:schemeClr>
                  </a:gs>
                </a:gsLst>
                <a:lin ang="5400000" scaled="1"/>
                <a:tileRect/>
              </a:gradFill>
              <a:ln>
                <a:noFill/>
              </a:ln>
              <a:effectLst/>
            </c:spPr>
            <c:extLst>
              <c:ext xmlns:c16="http://schemas.microsoft.com/office/drawing/2014/chart" uri="{C3380CC4-5D6E-409C-BE32-E72D297353CC}">
                <c16:uniqueId val="{00000002-16D4-4A65-9AC8-F69A247FE0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pivot!$G$34:$G$38</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3-16D4-4A65-9AC8-F69A247FE0E7}"/>
            </c:ext>
          </c:extLst>
        </c:ser>
        <c:dLbls>
          <c:dLblPos val="outEnd"/>
          <c:showLegendKey val="0"/>
          <c:showVal val="1"/>
          <c:showCatName val="0"/>
          <c:showSerName val="0"/>
          <c:showPercent val="0"/>
          <c:showBubbleSize val="0"/>
        </c:dLbls>
        <c:gapWidth val="30"/>
        <c:overlap val="100"/>
        <c:axId val="1354507232"/>
        <c:axId val="1354520672"/>
      </c:barChart>
      <c:catAx>
        <c:axId val="135450723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520672"/>
        <c:crosses val="autoZero"/>
        <c:auto val="1"/>
        <c:lblAlgn val="ctr"/>
        <c:lblOffset val="100"/>
        <c:noMultiLvlLbl val="0"/>
      </c:catAx>
      <c:valAx>
        <c:axId val="1354520672"/>
        <c:scaling>
          <c:orientation val="minMax"/>
          <c:min val="0"/>
        </c:scaling>
        <c:delete val="1"/>
        <c:axPos val="t"/>
        <c:numFmt formatCode="General" sourceLinked="1"/>
        <c:majorTickMark val="out"/>
        <c:minorTickMark val="none"/>
        <c:tickLblPos val="nextTo"/>
        <c:crossAx val="135450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solidFill>
                  <a:schemeClr val="accent2">
                    <a:lumMod val="75000"/>
                  </a:schemeClr>
                </a:solidFill>
              </a:rPr>
              <a:t>Amount</a:t>
            </a:r>
          </a:p>
        </c:rich>
      </c:tx>
      <c:layout>
        <c:manualLayout>
          <c:xMode val="edge"/>
          <c:yMode val="edge"/>
          <c:x val="0.31085154536469806"/>
          <c:y val="2.2980110141677505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pivot!$D$34:$D$38</c:f>
              <c:strCache>
                <c:ptCount val="5"/>
                <c:pt idx="0">
                  <c:v>R01</c:v>
                </c:pt>
                <c:pt idx="1">
                  <c:v>R02</c:v>
                </c:pt>
                <c:pt idx="2">
                  <c:v>R03</c:v>
                </c:pt>
                <c:pt idx="3">
                  <c:v>R04</c:v>
                </c:pt>
                <c:pt idx="4">
                  <c:v>R05</c:v>
                </c:pt>
              </c:strCache>
            </c:strRef>
          </c:cat>
          <c:val>
            <c:numRef>
              <c:f>pivot!$E$34:$E$38</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B3C9-403D-B12A-EA638880C926}"/>
            </c:ext>
          </c:extLst>
        </c:ser>
        <c:ser>
          <c:idx val="1"/>
          <c:order val="1"/>
          <c:tx>
            <c:strRef>
              <c:f>pivot!$H$33</c:f>
              <c:strCache>
                <c:ptCount val="1"/>
                <c:pt idx="0">
                  <c:v>Sel.Amount</c:v>
                </c:pt>
              </c:strCache>
            </c:strRef>
          </c:tx>
          <c:spPr>
            <a:gradFill flip="none" rotWithShape="1">
              <a:gsLst>
                <a:gs pos="0">
                  <a:schemeClr val="accent1">
                    <a:lumMod val="75000"/>
                  </a:schemeClr>
                </a:gs>
                <a:gs pos="100000">
                  <a:srgbClr val="FADBEC"/>
                </a:gs>
                <a:gs pos="100000">
                  <a:schemeClr val="accent1">
                    <a:lumMod val="20000"/>
                    <a:lumOff val="80000"/>
                  </a:schemeClr>
                </a:gs>
                <a:gs pos="0">
                  <a:schemeClr val="accent2"/>
                </a:gs>
                <a:gs pos="35000">
                  <a:schemeClr val="accent2">
                    <a:lumMod val="60000"/>
                    <a:lumOff val="40000"/>
                  </a:schemeClr>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pivot!$H$34:$H$38</c:f>
              <c:numCache>
                <c:formatCode>\$#,###.0,"k"</c:formatCode>
                <c:ptCount val="5"/>
                <c:pt idx="0">
                  <c:v>#N/A</c:v>
                </c:pt>
                <c:pt idx="1">
                  <c:v>#N/A</c:v>
                </c:pt>
                <c:pt idx="2">
                  <c:v>#N/A</c:v>
                </c:pt>
                <c:pt idx="3">
                  <c:v>#N/A</c:v>
                </c:pt>
                <c:pt idx="4">
                  <c:v>20104</c:v>
                </c:pt>
              </c:numCache>
            </c:numRef>
          </c:val>
          <c:extLst>
            <c:ext xmlns:c16="http://schemas.microsoft.com/office/drawing/2014/chart" uri="{C3380CC4-5D6E-409C-BE32-E72D297353CC}">
              <c16:uniqueId val="{00000001-B3C9-403D-B12A-EA638880C926}"/>
            </c:ext>
          </c:extLst>
        </c:ser>
        <c:dLbls>
          <c:dLblPos val="outEnd"/>
          <c:showLegendKey val="0"/>
          <c:showVal val="1"/>
          <c:showCatName val="0"/>
          <c:showSerName val="0"/>
          <c:showPercent val="0"/>
          <c:showBubbleSize val="0"/>
        </c:dLbls>
        <c:gapWidth val="30"/>
        <c:overlap val="100"/>
        <c:axId val="1197275248"/>
        <c:axId val="1197258928"/>
      </c:barChart>
      <c:catAx>
        <c:axId val="119727524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58928"/>
        <c:crosses val="autoZero"/>
        <c:auto val="1"/>
        <c:lblAlgn val="ctr"/>
        <c:lblOffset val="100"/>
        <c:noMultiLvlLbl val="0"/>
      </c:catAx>
      <c:valAx>
        <c:axId val="1197258928"/>
        <c:scaling>
          <c:orientation val="minMax"/>
        </c:scaling>
        <c:delete val="1"/>
        <c:axPos val="t"/>
        <c:numFmt formatCode="\$#,###.0,&quot;k&quot;" sourceLinked="1"/>
        <c:majorTickMark val="none"/>
        <c:minorTickMark val="none"/>
        <c:tickLblPos val="nextTo"/>
        <c:crossAx val="119727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[07.sample-data-excel-portfolio-project.xlsx]pivot!fevsmale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lumMod val="75000"/>
                  </a:schemeClr>
                </a:solidFill>
              </a:rPr>
              <a:t>Female</a:t>
            </a:r>
            <a:r>
              <a:rPr lang="en-IN" b="1" baseline="0"/>
              <a:t> vs. </a:t>
            </a:r>
            <a:r>
              <a:rPr lang="en-IN" b="1" baseline="0">
                <a:solidFill>
                  <a:schemeClr val="accent1">
                    <a:lumMod val="60000"/>
                    <a:lumOff val="40000"/>
                  </a:schemeClr>
                </a:solidFill>
              </a:rPr>
              <a:t>Male </a:t>
            </a:r>
            <a:r>
              <a:rPr lang="en-IN" b="1" baseline="0"/>
              <a:t>Callers</a:t>
            </a:r>
            <a:r>
              <a:rPr lang="en-IN"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c:spP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pivot!$B$45:$B$46</c:f>
              <c:strCache>
                <c:ptCount val="1"/>
                <c:pt idx="0">
                  <c:v>Female</c:v>
                </c:pt>
              </c:strCache>
            </c:strRef>
          </c:tx>
          <c:spPr>
            <a:solidFill>
              <a:schemeClr val="accent1">
                <a:lumMod val="75000"/>
              </a:schemeClr>
            </a:solidFill>
            <a:ln>
              <a:noFill/>
            </a:ln>
            <a:effectLst/>
          </c:spPr>
          <c:invertIfNegative val="0"/>
          <c:dPt>
            <c:idx val="0"/>
            <c:invertIfNegative val="0"/>
            <c:bubble3D val="0"/>
            <c:extLst>
              <c:ext xmlns:c16="http://schemas.microsoft.com/office/drawing/2014/chart" uri="{C3380CC4-5D6E-409C-BE32-E72D297353CC}">
                <c16:uniqueId val="{00000004-E8FA-417A-BC60-00F5344D7E0F}"/>
              </c:ext>
            </c:extLst>
          </c:dPt>
          <c:dPt>
            <c:idx val="1"/>
            <c:invertIfNegative val="0"/>
            <c:bubble3D val="0"/>
            <c:extLst>
              <c:ext xmlns:c16="http://schemas.microsoft.com/office/drawing/2014/chart" uri="{C3380CC4-5D6E-409C-BE32-E72D297353CC}">
                <c16:uniqueId val="{00000003-E8FA-417A-BC60-00F5344D7E0F}"/>
              </c:ext>
            </c:extLst>
          </c:dPt>
          <c:dPt>
            <c:idx val="2"/>
            <c:invertIfNegative val="0"/>
            <c:bubble3D val="0"/>
            <c:extLst>
              <c:ext xmlns:c16="http://schemas.microsoft.com/office/drawing/2014/chart" uri="{C3380CC4-5D6E-409C-BE32-E72D297353CC}">
                <c16:uniqueId val="{00000002-E8FA-417A-BC60-00F5344D7E0F}"/>
              </c:ext>
            </c:extLst>
          </c:dPt>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8FA-417A-BC60-00F5344D7E0F}"/>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8FA-417A-BC60-00F5344D7E0F}"/>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8FA-417A-BC60-00F5344D7E0F}"/>
                </c:ext>
              </c:extLst>
            </c:dLbl>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pivot!$A$47:$A$50</c:f>
              <c:strCache>
                <c:ptCount val="3"/>
                <c:pt idx="0">
                  <c:v>Cincinnati</c:v>
                </c:pt>
                <c:pt idx="1">
                  <c:v>Cleveland</c:v>
                </c:pt>
                <c:pt idx="2">
                  <c:v>Columbus</c:v>
                </c:pt>
              </c:strCache>
            </c:strRef>
          </c:cat>
          <c:val>
            <c:numRef>
              <c:f>pivot!$B$47:$B$50</c:f>
              <c:numCache>
                <c:formatCode>#,##0</c:formatCode>
                <c:ptCount val="3"/>
                <c:pt idx="0">
                  <c:v>144</c:v>
                </c:pt>
                <c:pt idx="1">
                  <c:v>326</c:v>
                </c:pt>
                <c:pt idx="2">
                  <c:v>129</c:v>
                </c:pt>
              </c:numCache>
            </c:numRef>
          </c:val>
          <c:extLst>
            <c:ext xmlns:c16="http://schemas.microsoft.com/office/drawing/2014/chart" uri="{C3380CC4-5D6E-409C-BE32-E72D297353CC}">
              <c16:uniqueId val="{00000000-E8FA-417A-BC60-00F5344D7E0F}"/>
            </c:ext>
          </c:extLst>
        </c:ser>
        <c:ser>
          <c:idx val="1"/>
          <c:order val="1"/>
          <c:tx>
            <c:strRef>
              <c:f>pivot!$C$45:$C$46</c:f>
              <c:strCache>
                <c:ptCount val="1"/>
                <c:pt idx="0">
                  <c:v>Male</c:v>
                </c:pt>
              </c:strCache>
            </c:strRef>
          </c:tx>
          <c:spPr>
            <a:solidFill>
              <a:schemeClr val="accent1">
                <a:lumMod val="60000"/>
                <a:lumOff val="40000"/>
              </a:schemeClr>
            </a:solidFill>
            <a:ln>
              <a:noFill/>
            </a:ln>
            <a:effectLst/>
          </c:spPr>
          <c:invertIfNegative val="0"/>
          <c:dLbls>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pivot!$A$47:$A$50</c:f>
              <c:strCache>
                <c:ptCount val="3"/>
                <c:pt idx="0">
                  <c:v>Cincinnati</c:v>
                </c:pt>
                <c:pt idx="1">
                  <c:v>Cleveland</c:v>
                </c:pt>
                <c:pt idx="2">
                  <c:v>Columbus</c:v>
                </c:pt>
              </c:strCache>
            </c:strRef>
          </c:cat>
          <c:val>
            <c:numRef>
              <c:f>pivot!$C$47:$C$50</c:f>
              <c:numCache>
                <c:formatCode>#,##0</c:formatCode>
                <c:ptCount val="3"/>
                <c:pt idx="0">
                  <c:v>132</c:v>
                </c:pt>
                <c:pt idx="1">
                  <c:v>63</c:v>
                </c:pt>
                <c:pt idx="2">
                  <c:v>206</c:v>
                </c:pt>
              </c:numCache>
            </c:numRef>
          </c:val>
          <c:extLst>
            <c:ext xmlns:c16="http://schemas.microsoft.com/office/drawing/2014/chart" uri="{C3380CC4-5D6E-409C-BE32-E72D297353CC}">
              <c16:uniqueId val="{00000001-E8FA-417A-BC60-00F5344D7E0F}"/>
            </c:ext>
          </c:extLst>
        </c:ser>
        <c:dLbls>
          <c:showLegendKey val="0"/>
          <c:showVal val="0"/>
          <c:showCatName val="0"/>
          <c:showSerName val="0"/>
          <c:showPercent val="0"/>
          <c:showBubbleSize val="0"/>
        </c:dLbls>
        <c:gapWidth val="30"/>
        <c:overlap val="100"/>
        <c:axId val="666500975"/>
        <c:axId val="666502895"/>
      </c:barChart>
      <c:catAx>
        <c:axId val="666500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502895"/>
        <c:crosses val="autoZero"/>
        <c:auto val="1"/>
        <c:lblAlgn val="ctr"/>
        <c:lblOffset val="100"/>
        <c:noMultiLvlLbl val="0"/>
      </c:catAx>
      <c:valAx>
        <c:axId val="666502895"/>
        <c:scaling>
          <c:orientation val="minMax"/>
        </c:scaling>
        <c:delete val="1"/>
        <c:axPos val="l"/>
        <c:numFmt formatCode="0%" sourceLinked="1"/>
        <c:majorTickMark val="out"/>
        <c:minorTickMark val="none"/>
        <c:tickLblPos val="nextTo"/>
        <c:crossAx val="66650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[07.sample-data-excel-portfolio-project.xlsx]pivot!re_satisfaction</c:name>
    <c:fmtId val="1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accent1">
                    <a:lumMod val="50000"/>
                  </a:schemeClr>
                </a:solidFill>
              </a:rPr>
              <a:t>Rating</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pivot!$G$45</c:f>
              <c:strCache>
                <c:ptCount val="1"/>
                <c:pt idx="0">
                  <c:v>Total</c:v>
                </c:pt>
              </c:strCache>
            </c:strRef>
          </c:tx>
          <c:spPr>
            <a:solidFill>
              <a:schemeClr val="accent1">
                <a:lumMod val="75000"/>
              </a:schemeClr>
            </a:solidFill>
            <a:ln>
              <a:noFill/>
            </a:ln>
            <a:effectLst/>
          </c:spPr>
          <c:invertIfNegative val="0"/>
          <c:cat>
            <c:strRef>
              <c:f>pivot!$F$46:$F$50</c:f>
              <c:strCache>
                <c:ptCount val="4"/>
                <c:pt idx="0">
                  <c:v>2</c:v>
                </c:pt>
                <c:pt idx="1">
                  <c:v>3</c:v>
                </c:pt>
                <c:pt idx="2">
                  <c:v>4</c:v>
                </c:pt>
                <c:pt idx="3">
                  <c:v>5</c:v>
                </c:pt>
              </c:strCache>
            </c:strRef>
          </c:cat>
          <c:val>
            <c:numRef>
              <c:f>pivot!$G$46:$G$50</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E124-4381-B7BB-73CDE8305BD7}"/>
            </c:ext>
          </c:extLst>
        </c:ser>
        <c:dLbls>
          <c:showLegendKey val="0"/>
          <c:showVal val="0"/>
          <c:showCatName val="0"/>
          <c:showSerName val="0"/>
          <c:showPercent val="0"/>
          <c:showBubbleSize val="0"/>
        </c:dLbls>
        <c:gapWidth val="30"/>
        <c:overlap val="-27"/>
        <c:axId val="1798099007"/>
        <c:axId val="1798095647"/>
      </c:barChart>
      <c:catAx>
        <c:axId val="17980990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095647"/>
        <c:crosses val="autoZero"/>
        <c:auto val="1"/>
        <c:lblAlgn val="ctr"/>
        <c:lblOffset val="100"/>
        <c:noMultiLvlLbl val="0"/>
      </c:catAx>
      <c:valAx>
        <c:axId val="179809564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09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2.svg"/><Relationship Id="rId13" Type="http://schemas.openxmlformats.org/officeDocument/2006/relationships/image" Target="../media/image15.jpeg"/><Relationship Id="rId3" Type="http://schemas.openxmlformats.org/officeDocument/2006/relationships/image" Target="../media/image5.png"/><Relationship Id="rId7" Type="http://schemas.openxmlformats.org/officeDocument/2006/relationships/image" Target="../media/image11.png"/><Relationship Id="rId12" Type="http://schemas.openxmlformats.org/officeDocument/2006/relationships/image" Target="../media/image10.svg"/><Relationship Id="rId17" Type="http://schemas.openxmlformats.org/officeDocument/2006/relationships/image" Target="../media/image19.jpeg"/><Relationship Id="rId2" Type="http://schemas.openxmlformats.org/officeDocument/2006/relationships/image" Target="../media/image8.svg"/><Relationship Id="rId16" Type="http://schemas.openxmlformats.org/officeDocument/2006/relationships/image" Target="../media/image18.jpeg"/><Relationship Id="rId1" Type="http://schemas.openxmlformats.org/officeDocument/2006/relationships/image" Target="../media/image7.png"/><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image" Target="../media/image17.jpeg"/><Relationship Id="rId10" Type="http://schemas.openxmlformats.org/officeDocument/2006/relationships/image" Target="../media/image14.svg"/><Relationship Id="rId4" Type="http://schemas.openxmlformats.org/officeDocument/2006/relationships/image" Target="../media/image6.svg"/><Relationship Id="rId9" Type="http://schemas.openxmlformats.org/officeDocument/2006/relationships/image" Target="../media/image13.png"/><Relationship Id="rId14" Type="http://schemas.openxmlformats.org/officeDocument/2006/relationships/image" Target="../media/image16.jpeg"/></Relationships>
</file>

<file path=xl/drawings/drawing1.xml><?xml version="1.0" encoding="utf-8"?>
<xdr:wsDr xmlns:xdr="http://schemas.openxmlformats.org/drawingml/2006/spreadsheetDrawing" xmlns:a="http://schemas.openxmlformats.org/drawingml/2006/main">
  <xdr:twoCellAnchor>
    <xdr:from>
      <xdr:col>2</xdr:col>
      <xdr:colOff>7352</xdr:colOff>
      <xdr:row>2</xdr:row>
      <xdr:rowOff>47637</xdr:rowOff>
    </xdr:from>
    <xdr:to>
      <xdr:col>3</xdr:col>
      <xdr:colOff>517470</xdr:colOff>
      <xdr:row>7</xdr:row>
      <xdr:rowOff>86915</xdr:rowOff>
    </xdr:to>
    <xdr:sp macro="" textlink="pivot!A4">
      <xdr:nvSpPr>
        <xdr:cNvPr id="2" name="Rectangle 1">
          <a:extLst>
            <a:ext uri="{FF2B5EF4-FFF2-40B4-BE49-F238E27FC236}">
              <a16:creationId xmlns:a16="http://schemas.microsoft.com/office/drawing/2014/main" id="{AAA77A0F-8CC2-181B-6956-2E6D35605CFE}"/>
            </a:ext>
          </a:extLst>
        </xdr:cNvPr>
        <xdr:cNvSpPr/>
      </xdr:nvSpPr>
      <xdr:spPr>
        <a:xfrm>
          <a:off x="1353012" y="420531"/>
          <a:ext cx="1182947" cy="971512"/>
        </a:xfrm>
        <a:prstGeom prst="rect">
          <a:avLst/>
        </a:prstGeom>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430EF1-95A6-4AC0-A815-1382EDEA60E1}" type="TxLink">
            <a:rPr lang="en-US" sz="2400" b="1" i="0" u="none" strike="noStrike" cap="none" spc="0">
              <a:ln w="0"/>
              <a:solidFill>
                <a:schemeClr val="bg1">
                  <a:lumMod val="95000"/>
                </a:schemeClr>
              </a:solidFill>
              <a:effectLst>
                <a:outerShdw blurRad="38100" dist="25400" dir="5400000" algn="ctr" rotWithShape="0">
                  <a:srgbClr val="6E747A">
                    <a:alpha val="43000"/>
                  </a:srgbClr>
                </a:outerShdw>
              </a:effectLst>
              <a:latin typeface="Aptos"/>
            </a:rPr>
            <a:pPr algn="ctr"/>
            <a:t>1,000</a:t>
          </a:fld>
          <a:endParaRPr lang="en-US" sz="2400" b="1" cap="none" spc="0">
            <a:ln w="0"/>
            <a:solidFill>
              <a:schemeClr val="bg1">
                <a:lumMod val="95000"/>
              </a:schemeClr>
            </a:solidFill>
            <a:effectLst>
              <a:outerShdw blurRad="38100" dist="25400" dir="5400000" algn="ctr" rotWithShape="0">
                <a:srgbClr val="6E747A">
                  <a:alpha val="43000"/>
                </a:srgbClr>
              </a:outerShdw>
            </a:effectLst>
          </a:endParaRPr>
        </a:p>
      </xdr:txBody>
    </xdr:sp>
    <xdr:clientData/>
  </xdr:twoCellAnchor>
  <xdr:twoCellAnchor>
    <xdr:from>
      <xdr:col>2</xdr:col>
      <xdr:colOff>137808</xdr:colOff>
      <xdr:row>2</xdr:row>
      <xdr:rowOff>121595</xdr:rowOff>
    </xdr:from>
    <xdr:to>
      <xdr:col>3</xdr:col>
      <xdr:colOff>462064</xdr:colOff>
      <xdr:row>3</xdr:row>
      <xdr:rowOff>154022</xdr:rowOff>
    </xdr:to>
    <xdr:sp macro="" textlink="">
      <xdr:nvSpPr>
        <xdr:cNvPr id="3" name="TextBox 2">
          <a:extLst>
            <a:ext uri="{FF2B5EF4-FFF2-40B4-BE49-F238E27FC236}">
              <a16:creationId xmlns:a16="http://schemas.microsoft.com/office/drawing/2014/main" id="{1C0FF3F3-74FB-BAAF-2661-ADE24403FDCF}"/>
            </a:ext>
          </a:extLst>
        </xdr:cNvPr>
        <xdr:cNvSpPr txBox="1"/>
      </xdr:nvSpPr>
      <xdr:spPr>
        <a:xfrm>
          <a:off x="1483468" y="494489"/>
          <a:ext cx="997085" cy="218873"/>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i="0" u="none" strike="noStrike" cap="none" spc="0">
              <a:ln w="0"/>
              <a:solidFill>
                <a:srgbClr val="000000"/>
              </a:solidFill>
              <a:effectLst>
                <a:outerShdw blurRad="38100" dist="25400" dir="5400000" algn="ctr" rotWithShape="0">
                  <a:srgbClr val="6E747A">
                    <a:alpha val="43000"/>
                  </a:srgbClr>
                </a:outerShdw>
              </a:effectLst>
              <a:latin typeface="Aptos"/>
              <a:ea typeface="+mn-ea"/>
              <a:cs typeface="+mn-cs"/>
            </a:rPr>
            <a:t>Calls</a:t>
          </a:r>
        </a:p>
        <a:p>
          <a:pPr algn="ctr"/>
          <a:endParaRPr lang="en-IN" sz="1100"/>
        </a:p>
        <a:p>
          <a:pPr algn="ctr"/>
          <a:endParaRPr lang="en-IN" sz="1100"/>
        </a:p>
        <a:p>
          <a:pPr algn="ctr"/>
          <a:endParaRPr lang="en-IN" sz="1100">
            <a:solidFill>
              <a:schemeClr val="bg1"/>
            </a:solidFill>
          </a:endParaRPr>
        </a:p>
        <a:p>
          <a:endParaRPr lang="en-IN" sz="1100"/>
        </a:p>
      </xdr:txBody>
    </xdr:sp>
    <xdr:clientData/>
  </xdr:twoCellAnchor>
  <xdr:twoCellAnchor editAs="oneCell">
    <xdr:from>
      <xdr:col>2</xdr:col>
      <xdr:colOff>56743</xdr:colOff>
      <xdr:row>2</xdr:row>
      <xdr:rowOff>154018</xdr:rowOff>
    </xdr:from>
    <xdr:to>
      <xdr:col>2</xdr:col>
      <xdr:colOff>259142</xdr:colOff>
      <xdr:row>3</xdr:row>
      <xdr:rowOff>162126</xdr:rowOff>
    </xdr:to>
    <xdr:pic>
      <xdr:nvPicPr>
        <xdr:cNvPr id="4" name="Graphic 3" descr="Receiver with solid fill">
          <a:extLst>
            <a:ext uri="{FF2B5EF4-FFF2-40B4-BE49-F238E27FC236}">
              <a16:creationId xmlns:a16="http://schemas.microsoft.com/office/drawing/2014/main" id="{A9AB10E2-B357-4E9E-B5E3-12F8C73E11E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796179">
          <a:off x="1402403" y="526912"/>
          <a:ext cx="202399" cy="194555"/>
        </a:xfrm>
        <a:prstGeom prst="rect">
          <a:avLst/>
        </a:prstGeom>
      </xdr:spPr>
    </xdr:pic>
    <xdr:clientData/>
  </xdr:twoCellAnchor>
  <xdr:twoCellAnchor>
    <xdr:from>
      <xdr:col>2</xdr:col>
      <xdr:colOff>194554</xdr:colOff>
      <xdr:row>5</xdr:row>
      <xdr:rowOff>162128</xdr:rowOff>
    </xdr:from>
    <xdr:to>
      <xdr:col>3</xdr:col>
      <xdr:colOff>259405</xdr:colOff>
      <xdr:row>7</xdr:row>
      <xdr:rowOff>0</xdr:rowOff>
    </xdr:to>
    <xdr:sp macro="" textlink="pivot!A10">
      <xdr:nvSpPr>
        <xdr:cNvPr id="5" name="TextBox 4">
          <a:extLst>
            <a:ext uri="{FF2B5EF4-FFF2-40B4-BE49-F238E27FC236}">
              <a16:creationId xmlns:a16="http://schemas.microsoft.com/office/drawing/2014/main" id="{9A9F6071-3223-3A65-1438-BF177DECC47A}"/>
            </a:ext>
          </a:extLst>
        </xdr:cNvPr>
        <xdr:cNvSpPr txBox="1"/>
      </xdr:nvSpPr>
      <xdr:spPr>
        <a:xfrm>
          <a:off x="1540214" y="1094362"/>
          <a:ext cx="737680" cy="210766"/>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6868EE-C40B-4661-9645-54B03CAB4F32}" type="TxLink">
            <a:rPr lang="en-US" sz="1100" b="0" i="0" u="none" strike="noStrike">
              <a:solidFill>
                <a:schemeClr val="accent6">
                  <a:lumMod val="20000"/>
                  <a:lumOff val="80000"/>
                </a:schemeClr>
              </a:solidFill>
              <a:latin typeface="Aptos"/>
            </a:rPr>
            <a:pPr algn="ctr"/>
            <a:t>200</a:t>
          </a:fld>
          <a:endParaRPr lang="en-IN" sz="1100">
            <a:solidFill>
              <a:schemeClr val="accent6">
                <a:lumMod val="20000"/>
                <a:lumOff val="80000"/>
              </a:schemeClr>
            </a:solidFill>
          </a:endParaRPr>
        </a:p>
      </xdr:txBody>
    </xdr:sp>
    <xdr:clientData/>
  </xdr:twoCellAnchor>
  <xdr:twoCellAnchor>
    <xdr:from>
      <xdr:col>2</xdr:col>
      <xdr:colOff>0</xdr:colOff>
      <xdr:row>10</xdr:row>
      <xdr:rowOff>0</xdr:rowOff>
    </xdr:from>
    <xdr:to>
      <xdr:col>3</xdr:col>
      <xdr:colOff>510118</xdr:colOff>
      <xdr:row>15</xdr:row>
      <xdr:rowOff>39278</xdr:rowOff>
    </xdr:to>
    <xdr:sp macro="" textlink="pivot!B4">
      <xdr:nvSpPr>
        <xdr:cNvPr id="6" name="Rectangle 5">
          <a:extLst>
            <a:ext uri="{FF2B5EF4-FFF2-40B4-BE49-F238E27FC236}">
              <a16:creationId xmlns:a16="http://schemas.microsoft.com/office/drawing/2014/main" id="{CDFD805F-B845-4200-A10B-96EBE5A27B6F}"/>
            </a:ext>
          </a:extLst>
        </xdr:cNvPr>
        <xdr:cNvSpPr/>
      </xdr:nvSpPr>
      <xdr:spPr>
        <a:xfrm>
          <a:off x="1345660" y="1864468"/>
          <a:ext cx="1182947" cy="971512"/>
        </a:xfrm>
        <a:prstGeom prst="rect">
          <a:avLst/>
        </a:prstGeom>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B0FBF31-482B-445E-A64C-BCAF165ABCB1}" type="TxLink">
            <a:rPr lang="en-US" sz="2000" b="1" i="0" u="none" strike="noStrike" cap="none" spc="0">
              <a:ln w="0"/>
              <a:solidFill>
                <a:schemeClr val="bg1">
                  <a:lumMod val="95000"/>
                </a:schemeClr>
              </a:solidFill>
              <a:effectLst>
                <a:outerShdw blurRad="38100" dist="25400" dir="5400000" algn="ctr" rotWithShape="0">
                  <a:srgbClr val="6E747A">
                    <a:alpha val="43000"/>
                  </a:srgbClr>
                </a:outerShdw>
              </a:effectLst>
              <a:latin typeface="Aptos"/>
              <a:ea typeface="+mn-ea"/>
              <a:cs typeface="+mn-cs"/>
            </a:rPr>
            <a:pPr marL="0" indent="0" algn="ctr"/>
            <a:t>$96,623</a:t>
          </a:fld>
          <a:endParaRPr lang="en-US" sz="2000" b="1" i="0" u="none" strike="noStrike" cap="none" spc="0">
            <a:ln w="0"/>
            <a:solidFill>
              <a:schemeClr val="bg1">
                <a:lumMod val="95000"/>
              </a:schemeClr>
            </a:solidFill>
            <a:effectLst>
              <a:outerShdw blurRad="38100" dist="25400" dir="5400000" algn="ctr" rotWithShape="0">
                <a:srgbClr val="6E747A">
                  <a:alpha val="43000"/>
                </a:srgbClr>
              </a:outerShdw>
            </a:effectLst>
            <a:latin typeface="Aptos"/>
            <a:ea typeface="+mn-ea"/>
            <a:cs typeface="+mn-cs"/>
          </a:endParaRPr>
        </a:p>
      </xdr:txBody>
    </xdr:sp>
    <xdr:clientData/>
  </xdr:twoCellAnchor>
  <xdr:twoCellAnchor>
    <xdr:from>
      <xdr:col>2</xdr:col>
      <xdr:colOff>130456</xdr:colOff>
      <xdr:row>10</xdr:row>
      <xdr:rowOff>73958</xdr:rowOff>
    </xdr:from>
    <xdr:to>
      <xdr:col>3</xdr:col>
      <xdr:colOff>454712</xdr:colOff>
      <xdr:row>11</xdr:row>
      <xdr:rowOff>106384</xdr:rowOff>
    </xdr:to>
    <xdr:sp macro="" textlink="">
      <xdr:nvSpPr>
        <xdr:cNvPr id="7" name="TextBox 6">
          <a:extLst>
            <a:ext uri="{FF2B5EF4-FFF2-40B4-BE49-F238E27FC236}">
              <a16:creationId xmlns:a16="http://schemas.microsoft.com/office/drawing/2014/main" id="{57EBC652-0AD5-4CB9-B975-0BE7BC2A0224}"/>
            </a:ext>
          </a:extLst>
        </xdr:cNvPr>
        <xdr:cNvSpPr txBox="1"/>
      </xdr:nvSpPr>
      <xdr:spPr>
        <a:xfrm>
          <a:off x="1476116" y="1938426"/>
          <a:ext cx="997085" cy="218873"/>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latin typeface="+mj-lt"/>
            </a:rPr>
            <a:t>Amount</a:t>
          </a:r>
        </a:p>
        <a:p>
          <a:pPr algn="ctr"/>
          <a:endParaRPr lang="en-IN" sz="1100"/>
        </a:p>
        <a:p>
          <a:pPr algn="ctr"/>
          <a:endParaRPr lang="en-IN" sz="1100"/>
        </a:p>
        <a:p>
          <a:pPr algn="ctr"/>
          <a:endParaRPr lang="en-IN" sz="1100">
            <a:solidFill>
              <a:schemeClr val="bg1"/>
            </a:solidFill>
          </a:endParaRPr>
        </a:p>
        <a:p>
          <a:endParaRPr lang="en-IN" sz="1100"/>
        </a:p>
      </xdr:txBody>
    </xdr:sp>
    <xdr:clientData/>
  </xdr:twoCellAnchor>
  <xdr:twoCellAnchor editAs="oneCell">
    <xdr:from>
      <xdr:col>2</xdr:col>
      <xdr:colOff>69527</xdr:colOff>
      <xdr:row>10</xdr:row>
      <xdr:rowOff>130701</xdr:rowOff>
    </xdr:from>
    <xdr:to>
      <xdr:col>2</xdr:col>
      <xdr:colOff>264082</xdr:colOff>
      <xdr:row>11</xdr:row>
      <xdr:rowOff>138810</xdr:rowOff>
    </xdr:to>
    <xdr:pic>
      <xdr:nvPicPr>
        <xdr:cNvPr id="8" name="Graphic 7">
          <a:extLst>
            <a:ext uri="{FF2B5EF4-FFF2-40B4-BE49-F238E27FC236}">
              <a16:creationId xmlns:a16="http://schemas.microsoft.com/office/drawing/2014/main" id="{EF426FF2-0499-4835-9B47-DD044710A2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1415187" y="1995169"/>
          <a:ext cx="194555" cy="194555"/>
        </a:xfrm>
        <a:prstGeom prst="rect">
          <a:avLst/>
        </a:prstGeom>
      </xdr:spPr>
    </xdr:pic>
    <xdr:clientData/>
  </xdr:twoCellAnchor>
  <xdr:twoCellAnchor>
    <xdr:from>
      <xdr:col>2</xdr:col>
      <xdr:colOff>187202</xdr:colOff>
      <xdr:row>13</xdr:row>
      <xdr:rowOff>114490</xdr:rowOff>
    </xdr:from>
    <xdr:to>
      <xdr:col>3</xdr:col>
      <xdr:colOff>252053</xdr:colOff>
      <xdr:row>14</xdr:row>
      <xdr:rowOff>138810</xdr:rowOff>
    </xdr:to>
    <xdr:sp macro="" textlink="pivot!B10">
      <xdr:nvSpPr>
        <xdr:cNvPr id="9" name="TextBox 8">
          <a:extLst>
            <a:ext uri="{FF2B5EF4-FFF2-40B4-BE49-F238E27FC236}">
              <a16:creationId xmlns:a16="http://schemas.microsoft.com/office/drawing/2014/main" id="{BCE647DA-E4AB-4EBC-99E5-D45B1432C608}"/>
            </a:ext>
          </a:extLst>
        </xdr:cNvPr>
        <xdr:cNvSpPr txBox="1"/>
      </xdr:nvSpPr>
      <xdr:spPr>
        <a:xfrm>
          <a:off x="1532862" y="2538299"/>
          <a:ext cx="737680" cy="210766"/>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993E15-811E-4E6E-99C3-CB6070847A9D}" type="TxLink">
            <a:rPr lang="en-US" sz="1100" b="0" i="0" u="none" strike="noStrike">
              <a:solidFill>
                <a:schemeClr val="accent6">
                  <a:lumMod val="20000"/>
                  <a:lumOff val="80000"/>
                </a:schemeClr>
              </a:solidFill>
              <a:latin typeface="Aptos"/>
            </a:rPr>
            <a:pPr algn="ctr"/>
            <a:t>$20,104</a:t>
          </a:fld>
          <a:endParaRPr lang="en-IN" sz="1100">
            <a:solidFill>
              <a:schemeClr val="accent6">
                <a:lumMod val="20000"/>
                <a:lumOff val="80000"/>
              </a:schemeClr>
            </a:solidFill>
          </a:endParaRPr>
        </a:p>
      </xdr:txBody>
    </xdr:sp>
    <xdr:clientData/>
  </xdr:twoCellAnchor>
  <xdr:twoCellAnchor>
    <xdr:from>
      <xdr:col>2</xdr:col>
      <xdr:colOff>0</xdr:colOff>
      <xdr:row>17</xdr:row>
      <xdr:rowOff>0</xdr:rowOff>
    </xdr:from>
    <xdr:to>
      <xdr:col>3</xdr:col>
      <xdr:colOff>510118</xdr:colOff>
      <xdr:row>22</xdr:row>
      <xdr:rowOff>39278</xdr:rowOff>
    </xdr:to>
    <xdr:sp macro="" textlink="pivot!C4">
      <xdr:nvSpPr>
        <xdr:cNvPr id="10" name="Rectangle 9">
          <a:extLst>
            <a:ext uri="{FF2B5EF4-FFF2-40B4-BE49-F238E27FC236}">
              <a16:creationId xmlns:a16="http://schemas.microsoft.com/office/drawing/2014/main" id="{ACADD6E0-3AE0-4C83-BDE6-1B5B97D486F6}"/>
            </a:ext>
          </a:extLst>
        </xdr:cNvPr>
        <xdr:cNvSpPr/>
      </xdr:nvSpPr>
      <xdr:spPr>
        <a:xfrm>
          <a:off x="1345660" y="3169596"/>
          <a:ext cx="1182947" cy="971512"/>
        </a:xfrm>
        <a:prstGeom prst="rect">
          <a:avLst/>
        </a:prstGeom>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52EF303-AAD9-40DB-87FF-ED9C71B81763}" type="TxLink">
            <a:rPr lang="en-US" sz="2400" b="1" i="0" u="none" strike="noStrike" cap="none" spc="0">
              <a:ln w="0"/>
              <a:solidFill>
                <a:schemeClr val="bg1">
                  <a:lumMod val="95000"/>
                </a:schemeClr>
              </a:solidFill>
              <a:effectLst>
                <a:outerShdw blurRad="38100" dist="25400" dir="5400000" algn="ctr" rotWithShape="0">
                  <a:srgbClr val="6E747A">
                    <a:alpha val="43000"/>
                  </a:srgbClr>
                </a:outerShdw>
              </a:effectLst>
              <a:latin typeface="Aptos"/>
              <a:ea typeface="+mn-ea"/>
              <a:cs typeface="+mn-cs"/>
            </a:rPr>
            <a:pPr marL="0" indent="0" algn="ctr"/>
            <a:t>89,850</a:t>
          </a:fld>
          <a:endParaRPr lang="en-US" sz="2400" b="1" i="0" u="none" strike="noStrike" cap="none" spc="0">
            <a:ln w="0"/>
            <a:solidFill>
              <a:schemeClr val="bg1">
                <a:lumMod val="95000"/>
              </a:schemeClr>
            </a:solidFill>
            <a:effectLst>
              <a:outerShdw blurRad="38100" dist="25400" dir="5400000" algn="ctr" rotWithShape="0">
                <a:srgbClr val="6E747A">
                  <a:alpha val="43000"/>
                </a:srgbClr>
              </a:outerShdw>
            </a:effectLst>
            <a:latin typeface="Aptos"/>
            <a:ea typeface="+mn-ea"/>
            <a:cs typeface="+mn-cs"/>
          </a:endParaRPr>
        </a:p>
      </xdr:txBody>
    </xdr:sp>
    <xdr:clientData/>
  </xdr:twoCellAnchor>
  <xdr:twoCellAnchor>
    <xdr:from>
      <xdr:col>2</xdr:col>
      <xdr:colOff>130456</xdr:colOff>
      <xdr:row>17</xdr:row>
      <xdr:rowOff>73958</xdr:rowOff>
    </xdr:from>
    <xdr:to>
      <xdr:col>3</xdr:col>
      <xdr:colOff>454712</xdr:colOff>
      <xdr:row>18</xdr:row>
      <xdr:rowOff>106384</xdr:rowOff>
    </xdr:to>
    <xdr:sp macro="" textlink="">
      <xdr:nvSpPr>
        <xdr:cNvPr id="11" name="TextBox 10">
          <a:extLst>
            <a:ext uri="{FF2B5EF4-FFF2-40B4-BE49-F238E27FC236}">
              <a16:creationId xmlns:a16="http://schemas.microsoft.com/office/drawing/2014/main" id="{20586581-7E14-4754-AAF2-5A434621B093}"/>
            </a:ext>
          </a:extLst>
        </xdr:cNvPr>
        <xdr:cNvSpPr txBox="1"/>
      </xdr:nvSpPr>
      <xdr:spPr>
        <a:xfrm>
          <a:off x="1476116" y="3243554"/>
          <a:ext cx="997085" cy="218873"/>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latin typeface="+mj-lt"/>
            </a:rPr>
            <a:t>Duration</a:t>
          </a:r>
          <a:r>
            <a:rPr lang="en-IN" sz="1100" baseline="0">
              <a:solidFill>
                <a:schemeClr val="bg1"/>
              </a:solidFill>
              <a:latin typeface="+mj-lt"/>
            </a:rPr>
            <a:t> </a:t>
          </a:r>
          <a:endParaRPr lang="en-IN" sz="1100">
            <a:solidFill>
              <a:schemeClr val="bg1"/>
            </a:solidFill>
            <a:latin typeface="+mj-lt"/>
          </a:endParaRPr>
        </a:p>
        <a:p>
          <a:pPr algn="ctr"/>
          <a:endParaRPr lang="en-IN" sz="1100"/>
        </a:p>
        <a:p>
          <a:pPr algn="ctr"/>
          <a:endParaRPr lang="en-IN" sz="1100"/>
        </a:p>
        <a:p>
          <a:pPr algn="ctr"/>
          <a:endParaRPr lang="en-IN" sz="1100">
            <a:solidFill>
              <a:schemeClr val="bg1"/>
            </a:solidFill>
          </a:endParaRPr>
        </a:p>
        <a:p>
          <a:endParaRPr lang="en-IN" sz="1100"/>
        </a:p>
      </xdr:txBody>
    </xdr:sp>
    <xdr:clientData/>
  </xdr:twoCellAnchor>
  <xdr:twoCellAnchor editAs="oneCell">
    <xdr:from>
      <xdr:col>2</xdr:col>
      <xdr:colOff>77631</xdr:colOff>
      <xdr:row>17</xdr:row>
      <xdr:rowOff>114488</xdr:rowOff>
    </xdr:from>
    <xdr:to>
      <xdr:col>2</xdr:col>
      <xdr:colOff>272186</xdr:colOff>
      <xdr:row>18</xdr:row>
      <xdr:rowOff>122597</xdr:rowOff>
    </xdr:to>
    <xdr:pic>
      <xdr:nvPicPr>
        <xdr:cNvPr id="12" name="Graphic 11">
          <a:extLst>
            <a:ext uri="{FF2B5EF4-FFF2-40B4-BE49-F238E27FC236}">
              <a16:creationId xmlns:a16="http://schemas.microsoft.com/office/drawing/2014/main" id="{D7349CB7-293C-45D9-A112-5AD8BC1A289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423291" y="3284084"/>
          <a:ext cx="194555" cy="194555"/>
        </a:xfrm>
        <a:prstGeom prst="rect">
          <a:avLst/>
        </a:prstGeom>
      </xdr:spPr>
    </xdr:pic>
    <xdr:clientData/>
  </xdr:twoCellAnchor>
  <xdr:twoCellAnchor>
    <xdr:from>
      <xdr:col>2</xdr:col>
      <xdr:colOff>187202</xdr:colOff>
      <xdr:row>20</xdr:row>
      <xdr:rowOff>114491</xdr:rowOff>
    </xdr:from>
    <xdr:to>
      <xdr:col>3</xdr:col>
      <xdr:colOff>252053</xdr:colOff>
      <xdr:row>21</xdr:row>
      <xdr:rowOff>138810</xdr:rowOff>
    </xdr:to>
    <xdr:sp macro="" textlink="pivot!C10">
      <xdr:nvSpPr>
        <xdr:cNvPr id="13" name="TextBox 12">
          <a:extLst>
            <a:ext uri="{FF2B5EF4-FFF2-40B4-BE49-F238E27FC236}">
              <a16:creationId xmlns:a16="http://schemas.microsoft.com/office/drawing/2014/main" id="{1E52EBFE-7CCE-423B-9BD6-34B047A43F1A}"/>
            </a:ext>
          </a:extLst>
        </xdr:cNvPr>
        <xdr:cNvSpPr txBox="1"/>
      </xdr:nvSpPr>
      <xdr:spPr>
        <a:xfrm>
          <a:off x="1532862" y="3843427"/>
          <a:ext cx="737680" cy="210766"/>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19844A-2035-43E5-A0F4-7218DAA9103D}" type="TxLink">
            <a:rPr lang="en-US" sz="1100" b="0" i="0" u="none" strike="noStrike">
              <a:solidFill>
                <a:schemeClr val="accent6">
                  <a:lumMod val="20000"/>
                  <a:lumOff val="80000"/>
                </a:schemeClr>
              </a:solidFill>
              <a:latin typeface="Aptos"/>
            </a:rPr>
            <a:pPr algn="ctr"/>
            <a:t>18,209</a:t>
          </a:fld>
          <a:endParaRPr lang="en-IN" sz="1100">
            <a:solidFill>
              <a:schemeClr val="accent6">
                <a:lumMod val="20000"/>
                <a:lumOff val="80000"/>
              </a:schemeClr>
            </a:solidFill>
          </a:endParaRPr>
        </a:p>
      </xdr:txBody>
    </xdr:sp>
    <xdr:clientData/>
  </xdr:twoCellAnchor>
  <xdr:twoCellAnchor>
    <xdr:from>
      <xdr:col>2</xdr:col>
      <xdr:colOff>16212</xdr:colOff>
      <xdr:row>24</xdr:row>
      <xdr:rowOff>8107</xdr:rowOff>
    </xdr:from>
    <xdr:to>
      <xdr:col>3</xdr:col>
      <xdr:colOff>526330</xdr:colOff>
      <xdr:row>29</xdr:row>
      <xdr:rowOff>47385</xdr:rowOff>
    </xdr:to>
    <xdr:sp macro="" textlink="pivot!D4">
      <xdr:nvSpPr>
        <xdr:cNvPr id="14" name="Rectangle 13">
          <a:extLst>
            <a:ext uri="{FF2B5EF4-FFF2-40B4-BE49-F238E27FC236}">
              <a16:creationId xmlns:a16="http://schemas.microsoft.com/office/drawing/2014/main" id="{F1883044-4235-4D33-B039-816DC5346FC1}"/>
            </a:ext>
          </a:extLst>
        </xdr:cNvPr>
        <xdr:cNvSpPr/>
      </xdr:nvSpPr>
      <xdr:spPr>
        <a:xfrm>
          <a:off x="1361872" y="4482830"/>
          <a:ext cx="1182947" cy="971512"/>
        </a:xfrm>
        <a:prstGeom prst="rect">
          <a:avLst/>
        </a:prstGeom>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77C501F-DACE-42BF-96D0-FC0AEB415A78}" type="TxLink">
            <a:rPr lang="en-US" sz="2400" b="1" i="0" u="none" strike="noStrike" cap="none" spc="0">
              <a:ln w="0"/>
              <a:solidFill>
                <a:schemeClr val="bg1">
                  <a:lumMod val="95000"/>
                </a:schemeClr>
              </a:solidFill>
              <a:effectLst>
                <a:outerShdw blurRad="38100" dist="25400" dir="5400000" algn="ctr" rotWithShape="0">
                  <a:srgbClr val="6E747A">
                    <a:alpha val="43000"/>
                  </a:srgbClr>
                </a:outerShdw>
              </a:effectLst>
              <a:latin typeface="Aptos"/>
              <a:ea typeface="+mn-ea"/>
              <a:cs typeface="+mn-cs"/>
            </a:rPr>
            <a:pPr marL="0" indent="0" algn="ctr"/>
            <a:t>3.9</a:t>
          </a:fld>
          <a:endParaRPr lang="en-US" sz="2400" b="1" i="0" u="none" strike="noStrike" cap="none" spc="0">
            <a:ln w="0"/>
            <a:solidFill>
              <a:schemeClr val="bg1">
                <a:lumMod val="95000"/>
              </a:schemeClr>
            </a:solidFill>
            <a:effectLst>
              <a:outerShdw blurRad="38100" dist="25400" dir="5400000" algn="ctr" rotWithShape="0">
                <a:srgbClr val="6E747A">
                  <a:alpha val="43000"/>
                </a:srgbClr>
              </a:outerShdw>
            </a:effectLst>
            <a:latin typeface="Aptos"/>
            <a:ea typeface="+mn-ea"/>
            <a:cs typeface="+mn-cs"/>
          </a:endParaRPr>
        </a:p>
      </xdr:txBody>
    </xdr:sp>
    <xdr:clientData/>
  </xdr:twoCellAnchor>
  <xdr:twoCellAnchor>
    <xdr:from>
      <xdr:col>2</xdr:col>
      <xdr:colOff>211519</xdr:colOff>
      <xdr:row>24</xdr:row>
      <xdr:rowOff>65852</xdr:rowOff>
    </xdr:from>
    <xdr:to>
      <xdr:col>3</xdr:col>
      <xdr:colOff>535775</xdr:colOff>
      <xdr:row>25</xdr:row>
      <xdr:rowOff>98278</xdr:rowOff>
    </xdr:to>
    <xdr:sp macro="" textlink="">
      <xdr:nvSpPr>
        <xdr:cNvPr id="15" name="TextBox 14">
          <a:extLst>
            <a:ext uri="{FF2B5EF4-FFF2-40B4-BE49-F238E27FC236}">
              <a16:creationId xmlns:a16="http://schemas.microsoft.com/office/drawing/2014/main" id="{4D283389-3D65-4C20-B073-DF21EB85364F}"/>
            </a:ext>
          </a:extLst>
        </xdr:cNvPr>
        <xdr:cNvSpPr txBox="1"/>
      </xdr:nvSpPr>
      <xdr:spPr>
        <a:xfrm>
          <a:off x="1557179" y="4540575"/>
          <a:ext cx="997085" cy="218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latin typeface="+mj-lt"/>
            </a:rPr>
            <a:t>Avg.</a:t>
          </a:r>
          <a:r>
            <a:rPr lang="en-IN" sz="1100" baseline="0">
              <a:solidFill>
                <a:schemeClr val="bg1"/>
              </a:solidFill>
              <a:latin typeface="+mj-lt"/>
            </a:rPr>
            <a:t> Rating </a:t>
          </a:r>
          <a:endParaRPr lang="en-IN" sz="1100">
            <a:solidFill>
              <a:schemeClr val="bg1"/>
            </a:solidFill>
            <a:latin typeface="+mj-lt"/>
          </a:endParaRPr>
        </a:p>
        <a:p>
          <a:pPr algn="ctr"/>
          <a:endParaRPr lang="en-IN" sz="1100"/>
        </a:p>
        <a:p>
          <a:pPr algn="ctr"/>
          <a:endParaRPr lang="en-IN" sz="1100"/>
        </a:p>
        <a:p>
          <a:pPr algn="ctr"/>
          <a:endParaRPr lang="en-IN" sz="1100">
            <a:solidFill>
              <a:schemeClr val="bg1"/>
            </a:solidFill>
          </a:endParaRPr>
        </a:p>
        <a:p>
          <a:endParaRPr lang="en-IN" sz="1100"/>
        </a:p>
      </xdr:txBody>
    </xdr:sp>
    <xdr:clientData/>
  </xdr:twoCellAnchor>
  <xdr:twoCellAnchor>
    <xdr:from>
      <xdr:col>2</xdr:col>
      <xdr:colOff>187202</xdr:colOff>
      <xdr:row>27</xdr:row>
      <xdr:rowOff>114490</xdr:rowOff>
    </xdr:from>
    <xdr:to>
      <xdr:col>3</xdr:col>
      <xdr:colOff>252053</xdr:colOff>
      <xdr:row>28</xdr:row>
      <xdr:rowOff>138809</xdr:rowOff>
    </xdr:to>
    <xdr:sp macro="" textlink="pivot!D10">
      <xdr:nvSpPr>
        <xdr:cNvPr id="17" name="TextBox 16">
          <a:extLst>
            <a:ext uri="{FF2B5EF4-FFF2-40B4-BE49-F238E27FC236}">
              <a16:creationId xmlns:a16="http://schemas.microsoft.com/office/drawing/2014/main" id="{444410BE-FE93-40C8-A199-68C436B95896}"/>
            </a:ext>
          </a:extLst>
        </xdr:cNvPr>
        <xdr:cNvSpPr txBox="1"/>
      </xdr:nvSpPr>
      <xdr:spPr>
        <a:xfrm>
          <a:off x="1532862" y="5148554"/>
          <a:ext cx="737680" cy="210766"/>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A3082B-0381-4A58-A89F-48B6E211EE3A}" type="TxLink">
            <a:rPr lang="en-US" sz="1100" b="0" i="0" u="none" strike="noStrike">
              <a:solidFill>
                <a:schemeClr val="accent6">
                  <a:lumMod val="20000"/>
                  <a:lumOff val="80000"/>
                </a:schemeClr>
              </a:solidFill>
              <a:latin typeface="Aptos"/>
            </a:rPr>
            <a:pPr algn="ctr"/>
            <a:t>3.9</a:t>
          </a:fld>
          <a:endParaRPr lang="en-IN" sz="1100">
            <a:solidFill>
              <a:schemeClr val="accent6">
                <a:lumMod val="20000"/>
                <a:lumOff val="80000"/>
              </a:schemeClr>
            </a:solidFill>
          </a:endParaRPr>
        </a:p>
      </xdr:txBody>
    </xdr:sp>
    <xdr:clientData/>
  </xdr:twoCellAnchor>
  <xdr:twoCellAnchor>
    <xdr:from>
      <xdr:col>2</xdr:col>
      <xdr:colOff>0</xdr:colOff>
      <xdr:row>31</xdr:row>
      <xdr:rowOff>0</xdr:rowOff>
    </xdr:from>
    <xdr:to>
      <xdr:col>3</xdr:col>
      <xdr:colOff>510118</xdr:colOff>
      <xdr:row>36</xdr:row>
      <xdr:rowOff>39278</xdr:rowOff>
    </xdr:to>
    <xdr:sp macro="" textlink="pivot!E4">
      <xdr:nvSpPr>
        <xdr:cNvPr id="18" name="Rectangle 17">
          <a:extLst>
            <a:ext uri="{FF2B5EF4-FFF2-40B4-BE49-F238E27FC236}">
              <a16:creationId xmlns:a16="http://schemas.microsoft.com/office/drawing/2014/main" id="{B31F19B1-8A31-4456-997F-55469268CCED}"/>
            </a:ext>
          </a:extLst>
        </xdr:cNvPr>
        <xdr:cNvSpPr/>
      </xdr:nvSpPr>
      <xdr:spPr>
        <a:xfrm>
          <a:off x="1345660" y="5779851"/>
          <a:ext cx="1182947" cy="971512"/>
        </a:xfrm>
        <a:prstGeom prst="rect">
          <a:avLst/>
        </a:prstGeom>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2DB0F59-0E55-470A-A383-93ED03E13720}" type="TxLink">
            <a:rPr lang="en-US" sz="2400" b="1" i="0" u="none" strike="noStrike" cap="none" spc="0">
              <a:ln w="0"/>
              <a:solidFill>
                <a:schemeClr val="bg1">
                  <a:lumMod val="95000"/>
                </a:schemeClr>
              </a:solidFill>
              <a:effectLst>
                <a:outerShdw blurRad="38100" dist="25400" dir="5400000" algn="ctr" rotWithShape="0">
                  <a:srgbClr val="6E747A">
                    <a:alpha val="43000"/>
                  </a:srgbClr>
                </a:outerShdw>
              </a:effectLst>
              <a:latin typeface="Aptos"/>
              <a:ea typeface="+mn-ea"/>
              <a:cs typeface="+mn-cs"/>
            </a:rPr>
            <a:pPr marL="0" indent="0" algn="ctr"/>
            <a:t>307</a:t>
          </a:fld>
          <a:endParaRPr lang="en-US" sz="2400" b="1" i="0" u="none" strike="noStrike" cap="none" spc="0">
            <a:ln w="0"/>
            <a:solidFill>
              <a:schemeClr val="bg1">
                <a:lumMod val="95000"/>
              </a:schemeClr>
            </a:solidFill>
            <a:effectLst>
              <a:outerShdw blurRad="38100" dist="25400" dir="5400000" algn="ctr" rotWithShape="0">
                <a:srgbClr val="6E747A">
                  <a:alpha val="43000"/>
                </a:srgbClr>
              </a:outerShdw>
            </a:effectLst>
            <a:latin typeface="Aptos"/>
            <a:ea typeface="+mn-ea"/>
            <a:cs typeface="+mn-cs"/>
          </a:endParaRPr>
        </a:p>
      </xdr:txBody>
    </xdr:sp>
    <xdr:clientData/>
  </xdr:twoCellAnchor>
  <xdr:twoCellAnchor>
    <xdr:from>
      <xdr:col>2</xdr:col>
      <xdr:colOff>124863</xdr:colOff>
      <xdr:row>31</xdr:row>
      <xdr:rowOff>44800</xdr:rowOff>
    </xdr:from>
    <xdr:to>
      <xdr:col>3</xdr:col>
      <xdr:colOff>591403</xdr:colOff>
      <xdr:row>32</xdr:row>
      <xdr:rowOff>79613</xdr:rowOff>
    </xdr:to>
    <xdr:sp macro="" textlink="">
      <xdr:nvSpPr>
        <xdr:cNvPr id="19" name="TextBox 18">
          <a:extLst>
            <a:ext uri="{FF2B5EF4-FFF2-40B4-BE49-F238E27FC236}">
              <a16:creationId xmlns:a16="http://schemas.microsoft.com/office/drawing/2014/main" id="{B03DEA4C-49DE-4551-8FE1-B0FE9F955F7B}"/>
            </a:ext>
          </a:extLst>
        </xdr:cNvPr>
        <xdr:cNvSpPr txBox="1"/>
      </xdr:nvSpPr>
      <xdr:spPr>
        <a:xfrm>
          <a:off x="1466893" y="5879218"/>
          <a:ext cx="1137555" cy="216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latin typeface="+mj-lt"/>
            </a:rPr>
            <a:t>Happy</a:t>
          </a:r>
          <a:r>
            <a:rPr lang="en-IN" sz="1100" baseline="0">
              <a:solidFill>
                <a:schemeClr val="bg1"/>
              </a:solidFill>
              <a:latin typeface="+mj-lt"/>
            </a:rPr>
            <a:t> Callers</a:t>
          </a:r>
          <a:endParaRPr lang="en-IN" sz="1100">
            <a:solidFill>
              <a:schemeClr val="bg1"/>
            </a:solidFill>
            <a:latin typeface="+mj-lt"/>
          </a:endParaRPr>
        </a:p>
        <a:p>
          <a:pPr algn="ctr"/>
          <a:endParaRPr lang="en-IN" sz="1100"/>
        </a:p>
        <a:p>
          <a:pPr algn="ctr"/>
          <a:endParaRPr lang="en-IN" sz="1100"/>
        </a:p>
        <a:p>
          <a:pPr algn="ctr"/>
          <a:endParaRPr lang="en-IN" sz="1100">
            <a:solidFill>
              <a:schemeClr val="bg1"/>
            </a:solidFill>
          </a:endParaRPr>
        </a:p>
        <a:p>
          <a:endParaRPr lang="en-IN" sz="1100"/>
        </a:p>
      </xdr:txBody>
    </xdr:sp>
    <xdr:clientData/>
  </xdr:twoCellAnchor>
  <xdr:twoCellAnchor editAs="oneCell">
    <xdr:from>
      <xdr:col>2</xdr:col>
      <xdr:colOff>12783</xdr:colOff>
      <xdr:row>31</xdr:row>
      <xdr:rowOff>73956</xdr:rowOff>
    </xdr:from>
    <xdr:to>
      <xdr:col>2</xdr:col>
      <xdr:colOff>207338</xdr:colOff>
      <xdr:row>32</xdr:row>
      <xdr:rowOff>82063</xdr:rowOff>
    </xdr:to>
    <xdr:pic>
      <xdr:nvPicPr>
        <xdr:cNvPr id="20" name="Graphic 19">
          <a:extLst>
            <a:ext uri="{FF2B5EF4-FFF2-40B4-BE49-F238E27FC236}">
              <a16:creationId xmlns:a16="http://schemas.microsoft.com/office/drawing/2014/main" id="{13A75F7D-CD62-4356-8050-B967ED4DFE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1358443" y="5853807"/>
          <a:ext cx="194555" cy="194555"/>
        </a:xfrm>
        <a:prstGeom prst="rect">
          <a:avLst/>
        </a:prstGeom>
      </xdr:spPr>
    </xdr:pic>
    <xdr:clientData/>
  </xdr:twoCellAnchor>
  <xdr:twoCellAnchor>
    <xdr:from>
      <xdr:col>2</xdr:col>
      <xdr:colOff>187202</xdr:colOff>
      <xdr:row>34</xdr:row>
      <xdr:rowOff>114491</xdr:rowOff>
    </xdr:from>
    <xdr:to>
      <xdr:col>3</xdr:col>
      <xdr:colOff>252053</xdr:colOff>
      <xdr:row>35</xdr:row>
      <xdr:rowOff>138810</xdr:rowOff>
    </xdr:to>
    <xdr:sp macro="" textlink="pivot!E10">
      <xdr:nvSpPr>
        <xdr:cNvPr id="21" name="TextBox 20">
          <a:extLst>
            <a:ext uri="{FF2B5EF4-FFF2-40B4-BE49-F238E27FC236}">
              <a16:creationId xmlns:a16="http://schemas.microsoft.com/office/drawing/2014/main" id="{91C0509D-2DC7-4ED0-A822-972B65833683}"/>
            </a:ext>
          </a:extLst>
        </xdr:cNvPr>
        <xdr:cNvSpPr txBox="1"/>
      </xdr:nvSpPr>
      <xdr:spPr>
        <a:xfrm>
          <a:off x="1532862" y="6453682"/>
          <a:ext cx="737680" cy="210766"/>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76732-F08D-4EA1-A67F-0F49C68892F8}" type="TxLink">
            <a:rPr lang="en-US" sz="1100" b="0" i="0" u="none" strike="noStrike">
              <a:solidFill>
                <a:schemeClr val="accent6">
                  <a:lumMod val="20000"/>
                  <a:lumOff val="80000"/>
                </a:schemeClr>
              </a:solidFill>
              <a:latin typeface="Aptos"/>
            </a:rPr>
            <a:pPr algn="ctr"/>
            <a:t>51</a:t>
          </a:fld>
          <a:endParaRPr lang="en-IN" sz="1100">
            <a:solidFill>
              <a:schemeClr val="accent6">
                <a:lumMod val="20000"/>
                <a:lumOff val="80000"/>
              </a:schemeClr>
            </a:solidFill>
          </a:endParaRPr>
        </a:p>
      </xdr:txBody>
    </xdr:sp>
    <xdr:clientData/>
  </xdr:twoCellAnchor>
  <xdr:twoCellAnchor editAs="oneCell">
    <xdr:from>
      <xdr:col>11</xdr:col>
      <xdr:colOff>243212</xdr:colOff>
      <xdr:row>22</xdr:row>
      <xdr:rowOff>6171</xdr:rowOff>
    </xdr:from>
    <xdr:to>
      <xdr:col>14</xdr:col>
      <xdr:colOff>77161</xdr:colOff>
      <xdr:row>32</xdr:row>
      <xdr:rowOff>37141</xdr:rowOff>
    </xdr:to>
    <mc:AlternateContent xmlns:mc="http://schemas.openxmlformats.org/markup-compatibility/2006">
      <mc:Choice xmlns:a14="http://schemas.microsoft.com/office/drawing/2010/main" Requires="a14">
        <xdr:graphicFrame macro="">
          <xdr:nvGraphicFramePr>
            <xdr:cNvPr id="16" name="Representative">
              <a:extLst>
                <a:ext uri="{FF2B5EF4-FFF2-40B4-BE49-F238E27FC236}">
                  <a16:creationId xmlns:a16="http://schemas.microsoft.com/office/drawing/2014/main" id="{8B8DEFDA-D3ED-4CA1-80B8-9A89CCDFAF9D}"/>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7624376" y="4202858"/>
              <a:ext cx="1846994" cy="1850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41287</xdr:colOff>
      <xdr:row>24</xdr:row>
      <xdr:rowOff>64852</xdr:rowOff>
    </xdr:from>
    <xdr:to>
      <xdr:col>2</xdr:col>
      <xdr:colOff>318899</xdr:colOff>
      <xdr:row>25</xdr:row>
      <xdr:rowOff>145307</xdr:rowOff>
    </xdr:to>
    <xdr:pic>
      <xdr:nvPicPr>
        <xdr:cNvPr id="26" name="Graphic 25" descr="Rating Star with solid fill">
          <a:extLst>
            <a:ext uri="{FF2B5EF4-FFF2-40B4-BE49-F238E27FC236}">
              <a16:creationId xmlns:a16="http://schemas.microsoft.com/office/drawing/2014/main" id="{3D2DDA0E-F65B-4DB3-B3CD-E554A70F0A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1386947" y="4539575"/>
          <a:ext cx="277612" cy="266902"/>
        </a:xfrm>
        <a:prstGeom prst="rect">
          <a:avLst/>
        </a:prstGeom>
      </xdr:spPr>
    </xdr:pic>
    <xdr:clientData/>
  </xdr:twoCellAnchor>
  <xdr:twoCellAnchor>
    <xdr:from>
      <xdr:col>4</xdr:col>
      <xdr:colOff>229249</xdr:colOff>
      <xdr:row>2</xdr:row>
      <xdr:rowOff>16212</xdr:rowOff>
    </xdr:from>
    <xdr:to>
      <xdr:col>10</xdr:col>
      <xdr:colOff>488023</xdr:colOff>
      <xdr:row>16</xdr:row>
      <xdr:rowOff>149157</xdr:rowOff>
    </xdr:to>
    <xdr:graphicFrame macro="">
      <xdr:nvGraphicFramePr>
        <xdr:cNvPr id="22" name="Chart 21">
          <a:extLst>
            <a:ext uri="{FF2B5EF4-FFF2-40B4-BE49-F238E27FC236}">
              <a16:creationId xmlns:a16="http://schemas.microsoft.com/office/drawing/2014/main" id="{607E6FF0-8C3A-4E02-8AF7-9CC05AFA65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488022</xdr:colOff>
      <xdr:row>2</xdr:row>
      <xdr:rowOff>18980</xdr:rowOff>
    </xdr:from>
    <xdr:to>
      <xdr:col>14</xdr:col>
      <xdr:colOff>42809</xdr:colOff>
      <xdr:row>16</xdr:row>
      <xdr:rowOff>147511</xdr:rowOff>
    </xdr:to>
    <xdr:graphicFrame macro="">
      <xdr:nvGraphicFramePr>
        <xdr:cNvPr id="23" name="Chart 22">
          <a:extLst>
            <a:ext uri="{FF2B5EF4-FFF2-40B4-BE49-F238E27FC236}">
              <a16:creationId xmlns:a16="http://schemas.microsoft.com/office/drawing/2014/main" id="{2A9115F5-75E6-47A5-BC57-6BF6DFC13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201705</xdr:colOff>
      <xdr:row>17</xdr:row>
      <xdr:rowOff>119865</xdr:rowOff>
    </xdr:from>
    <xdr:to>
      <xdr:col>11</xdr:col>
      <xdr:colOff>250372</xdr:colOff>
      <xdr:row>36</xdr:row>
      <xdr:rowOff>163286</xdr:rowOff>
    </xdr:to>
    <xdr:sp macro="" textlink="">
      <xdr:nvSpPr>
        <xdr:cNvPr id="27" name="Rectangle 26">
          <a:extLst>
            <a:ext uri="{FF2B5EF4-FFF2-40B4-BE49-F238E27FC236}">
              <a16:creationId xmlns:a16="http://schemas.microsoft.com/office/drawing/2014/main" id="{FC1E4D5C-95AB-9F49-2FEC-32024435ED12}"/>
            </a:ext>
          </a:extLst>
        </xdr:cNvPr>
        <xdr:cNvSpPr/>
      </xdr:nvSpPr>
      <xdr:spPr>
        <a:xfrm>
          <a:off x="2901362" y="3265836"/>
          <a:ext cx="4773067" cy="3570393"/>
        </a:xfrm>
        <a:prstGeom prst="rect">
          <a:avLst/>
        </a:prstGeom>
        <a:solidFill>
          <a:schemeClr val="bg1"/>
        </a:solid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257059</xdr:colOff>
      <xdr:row>18</xdr:row>
      <xdr:rowOff>66100</xdr:rowOff>
    </xdr:from>
    <xdr:to>
      <xdr:col>7</xdr:col>
      <xdr:colOff>624290</xdr:colOff>
      <xdr:row>36</xdr:row>
      <xdr:rowOff>64265</xdr:rowOff>
    </xdr:to>
    <xdr:graphicFrame macro="">
      <xdr:nvGraphicFramePr>
        <xdr:cNvPr id="24" name="Chart 23">
          <a:extLst>
            <a:ext uri="{FF2B5EF4-FFF2-40B4-BE49-F238E27FC236}">
              <a16:creationId xmlns:a16="http://schemas.microsoft.com/office/drawing/2014/main" id="{97C3FDC3-2629-448F-A188-60F6CF4D9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605928</xdr:colOff>
      <xdr:row>18</xdr:row>
      <xdr:rowOff>64265</xdr:rowOff>
    </xdr:from>
    <xdr:to>
      <xdr:col>11</xdr:col>
      <xdr:colOff>73446</xdr:colOff>
      <xdr:row>36</xdr:row>
      <xdr:rowOff>55085</xdr:rowOff>
    </xdr:to>
    <xdr:graphicFrame macro="">
      <xdr:nvGraphicFramePr>
        <xdr:cNvPr id="25" name="Chart 24">
          <a:extLst>
            <a:ext uri="{FF2B5EF4-FFF2-40B4-BE49-F238E27FC236}">
              <a16:creationId xmlns:a16="http://schemas.microsoft.com/office/drawing/2014/main" id="{66161CE5-5506-4339-A1F6-829E29A73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661147</xdr:colOff>
      <xdr:row>2</xdr:row>
      <xdr:rowOff>0</xdr:rowOff>
    </xdr:from>
    <xdr:to>
      <xdr:col>18</xdr:col>
      <xdr:colOff>201706</xdr:colOff>
      <xdr:row>17</xdr:row>
      <xdr:rowOff>0</xdr:rowOff>
    </xdr:to>
    <xdr:graphicFrame macro="">
      <xdr:nvGraphicFramePr>
        <xdr:cNvPr id="28" name="Chart 27">
          <a:extLst>
            <a:ext uri="{FF2B5EF4-FFF2-40B4-BE49-F238E27FC236}">
              <a16:creationId xmlns:a16="http://schemas.microsoft.com/office/drawing/2014/main" id="{8843CEA0-1A00-4F9E-9FDA-A40F01EB2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291354</xdr:colOff>
      <xdr:row>2</xdr:row>
      <xdr:rowOff>0</xdr:rowOff>
    </xdr:from>
    <xdr:to>
      <xdr:col>22</xdr:col>
      <xdr:colOff>44824</xdr:colOff>
      <xdr:row>16</xdr:row>
      <xdr:rowOff>156881</xdr:rowOff>
    </xdr:to>
    <xdr:graphicFrame macro="">
      <xdr:nvGraphicFramePr>
        <xdr:cNvPr id="29" name="Chart 28">
          <a:extLst>
            <a:ext uri="{FF2B5EF4-FFF2-40B4-BE49-F238E27FC236}">
              <a16:creationId xmlns:a16="http://schemas.microsoft.com/office/drawing/2014/main" id="{EF82DEA5-C675-45FC-86B0-1951EEF1D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149</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4</xdr:row>
      <xdr:rowOff>501535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xdr:from>
      <xdr:col>5</xdr:col>
      <xdr:colOff>299502</xdr:colOff>
      <xdr:row>2</xdr:row>
      <xdr:rowOff>116641</xdr:rowOff>
    </xdr:from>
    <xdr:to>
      <xdr:col>5</xdr:col>
      <xdr:colOff>636075</xdr:colOff>
      <xdr:row>2</xdr:row>
      <xdr:rowOff>512711</xdr:rowOff>
    </xdr:to>
    <xdr:pic>
      <xdr:nvPicPr>
        <xdr:cNvPr id="9" name="Picture 8">
          <a:extLst>
            <a:ext uri="{FF2B5EF4-FFF2-40B4-BE49-F238E27FC236}">
              <a16:creationId xmlns:a16="http://schemas.microsoft.com/office/drawing/2014/main" id="{F8F83200-6B6F-8A78-5E4C-9E779A440245}"/>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flipH="1">
          <a:off x="3818909" y="478268"/>
          <a:ext cx="336573" cy="396070"/>
        </a:xfrm>
        <a:prstGeom prst="ellipse">
          <a:avLst/>
        </a:prstGeom>
      </xdr:spPr>
    </xdr:pic>
    <xdr:clientData/>
  </xdr:twoCellAnchor>
  <xdr:twoCellAnchor editAs="oneCell">
    <xdr:from>
      <xdr:col>5</xdr:col>
      <xdr:colOff>223731</xdr:colOff>
      <xdr:row>6</xdr:row>
      <xdr:rowOff>36190</xdr:rowOff>
    </xdr:from>
    <xdr:to>
      <xdr:col>5</xdr:col>
      <xdr:colOff>562704</xdr:colOff>
      <xdr:row>6</xdr:row>
      <xdr:rowOff>544189</xdr:rowOff>
    </xdr:to>
    <xdr:pic>
      <xdr:nvPicPr>
        <xdr:cNvPr id="11" name="Picture 10">
          <a:extLst>
            <a:ext uri="{FF2B5EF4-FFF2-40B4-BE49-F238E27FC236}">
              <a16:creationId xmlns:a16="http://schemas.microsoft.com/office/drawing/2014/main" id="{4E5025BF-5C86-A5FC-A8E7-9032C8F1840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743138" y="2845258"/>
          <a:ext cx="338973" cy="507999"/>
        </a:xfrm>
        <a:prstGeom prst="ellipse">
          <a:avLst/>
        </a:prstGeom>
      </xdr:spPr>
    </xdr:pic>
    <xdr:clientData/>
  </xdr:twoCellAnchor>
  <xdr:twoCellAnchor editAs="oneCell">
    <xdr:from>
      <xdr:col>5</xdr:col>
      <xdr:colOff>288843</xdr:colOff>
      <xdr:row>3</xdr:row>
      <xdr:rowOff>151485</xdr:rowOff>
    </xdr:from>
    <xdr:to>
      <xdr:col>5</xdr:col>
      <xdr:colOff>653968</xdr:colOff>
      <xdr:row>3</xdr:row>
      <xdr:rowOff>636768</xdr:rowOff>
    </xdr:to>
    <xdr:pic>
      <xdr:nvPicPr>
        <xdr:cNvPr id="13" name="Picture 12">
          <a:extLst>
            <a:ext uri="{FF2B5EF4-FFF2-40B4-BE49-F238E27FC236}">
              <a16:creationId xmlns:a16="http://schemas.microsoft.com/office/drawing/2014/main" id="{206368EC-DF9E-C427-765E-716FDFA7C19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808250" y="1120129"/>
          <a:ext cx="365125" cy="485283"/>
        </a:xfrm>
        <a:prstGeom prst="ellipse">
          <a:avLst/>
        </a:prstGeom>
      </xdr:spPr>
    </xdr:pic>
    <xdr:clientData/>
  </xdr:twoCellAnchor>
  <xdr:twoCellAnchor editAs="oneCell">
    <xdr:from>
      <xdr:col>5</xdr:col>
      <xdr:colOff>272433</xdr:colOff>
      <xdr:row>5</xdr:row>
      <xdr:rowOff>62021</xdr:rowOff>
    </xdr:from>
    <xdr:to>
      <xdr:col>5</xdr:col>
      <xdr:colOff>637556</xdr:colOff>
      <xdr:row>5</xdr:row>
      <xdr:rowOff>427144</xdr:rowOff>
    </xdr:to>
    <xdr:pic>
      <xdr:nvPicPr>
        <xdr:cNvPr id="15" name="Picture 14">
          <a:extLst>
            <a:ext uri="{FF2B5EF4-FFF2-40B4-BE49-F238E27FC236}">
              <a16:creationId xmlns:a16="http://schemas.microsoft.com/office/drawing/2014/main" id="{2C281700-E8DF-6A48-A3BF-E90B0FAC1A78}"/>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791840" y="2412597"/>
          <a:ext cx="365123" cy="365123"/>
        </a:xfrm>
        <a:prstGeom prst="ellipse">
          <a:avLst/>
        </a:prstGeom>
      </xdr:spPr>
    </xdr:pic>
    <xdr:clientData/>
  </xdr:twoCellAnchor>
  <xdr:twoCellAnchor editAs="oneCell">
    <xdr:from>
      <xdr:col>5</xdr:col>
      <xdr:colOff>336470</xdr:colOff>
      <xdr:row>4</xdr:row>
      <xdr:rowOff>96730</xdr:rowOff>
    </xdr:from>
    <xdr:to>
      <xdr:col>5</xdr:col>
      <xdr:colOff>780970</xdr:colOff>
      <xdr:row>4</xdr:row>
      <xdr:rowOff>541230</xdr:rowOff>
    </xdr:to>
    <xdr:pic>
      <xdr:nvPicPr>
        <xdr:cNvPr id="17" name="Picture 16">
          <a:extLst>
            <a:ext uri="{FF2B5EF4-FFF2-40B4-BE49-F238E27FC236}">
              <a16:creationId xmlns:a16="http://schemas.microsoft.com/office/drawing/2014/main" id="{8B95C944-6D96-1319-8F71-E8C7835AD58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855877" y="1801544"/>
          <a:ext cx="444500" cy="444500"/>
        </a:xfrm>
        <a:prstGeom prst="ellipse">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 refreshedDate="45997.793437384258" backgroundQuery="1" createdVersion="8" refreshedVersion="8" minRefreshableVersion="3" recordCount="0" supportSubquery="1" supportAdvancedDrill="1" xr:uid="{B3436E43-D857-409D-AE0E-3EAB99BA2535}">
  <cacheSource type="external" connectionId="1"/>
  <cacheFields count="3">
    <cacheField name="[calls].[Representative].[Representative]" caption="Representative" numFmtId="0" hierarchy="3" level="1">
      <sharedItems count="5">
        <s v="R01"/>
        <s v="R02"/>
        <s v="R03"/>
        <s v="R04"/>
        <s v="R05"/>
      </sharedItems>
    </cacheField>
    <cacheField name="[Measures].[Total Amount ]" caption="Total Amount " numFmtId="0" hierarchy="18" level="32767"/>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 caption="Total Amount " measure="1" displayFolder="" measureGroup="calls" count="0" oneField="1">
      <fieldsUsage count="1">
        <fieldUsage x="1"/>
      </fieldsUsage>
    </cacheHierarchy>
    <cacheHierarchy uniqueName="[Measures].[Total Duration ]" caption="Total Duration " measure="1" displayFolder="" measureGroup="calls" count="0"/>
    <cacheHierarchy uniqueName="[Measures].[Avg-Rating ]" caption="Avg-Rating "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 refreshedDate="45997.793438657405" backgroundQuery="1" createdVersion="8" refreshedVersion="8" minRefreshableVersion="3" recordCount="0" supportSubquery="1" supportAdvancedDrill="1" xr:uid="{F203F8FC-3F48-4183-8532-7899E139BA6D}">
  <cacheSource type="external" connectionId="1"/>
  <cacheFields count="5">
    <cacheField name="[Measures].[Call Count]" caption="Call Count" numFmtId="0" hierarchy="17" level="32767"/>
    <cacheField name="[Measures].[Total Amount ]" caption="Total Amount " numFmtId="0" hierarchy="18" level="32767"/>
    <cacheField name="[Measures].[Total Duration ]" caption="Total Duration " numFmtId="0" hierarchy="19" level="32767"/>
    <cacheField name="[Measures].[Avg-Rating ]" caption="Avg-Rating " numFmtId="0" hierarchy="20" level="32767"/>
    <cacheField name="[Measures].[5*Calls]" caption="5*Calls"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 caption="Total Amount " measure="1" displayFolder="" measureGroup="calls" count="0" oneField="1">
      <fieldsUsage count="1">
        <fieldUsage x="1"/>
      </fieldsUsage>
    </cacheHierarchy>
    <cacheHierarchy uniqueName="[Measures].[Total Duration ]" caption="Total Duration " measure="1" displayFolder="" measureGroup="calls" count="0" oneField="1">
      <fieldsUsage count="1">
        <fieldUsage x="2"/>
      </fieldsUsage>
    </cacheHierarchy>
    <cacheHierarchy uniqueName="[Measures].[Avg-Rating ]" caption="Avg-Rating "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 refreshedDate="45997.793439699075" backgroundQuery="1" createdVersion="8" refreshedVersion="8" minRefreshableVersion="3" recordCount="0" supportSubquery="1" supportAdvancedDrill="1" xr:uid="{AD044AD0-EA36-4636-9C22-F7AB219E5812}">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 caption="Total Amount " measure="1" displayFolder="" measureGroup="calls" count="0"/>
    <cacheHierarchy uniqueName="[Measures].[Total Duration ]" caption="Total Duration " measure="1" displayFolder="" measureGroup="calls" count="0"/>
    <cacheHierarchy uniqueName="[Measures].[Avg-Rating ]" caption="Avg-Rating "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 refreshedDate="45997.793440972222" backgroundQuery="1" createdVersion="8" refreshedVersion="8" minRefreshableVersion="3" recordCount="0" supportSubquery="1" supportAdvancedDrill="1" xr:uid="{3E7A8C74-8E14-430F-8C93-EEB99D1C6AB4}">
  <cacheSource type="external" connectionId="1"/>
  <cacheFields count="4">
    <cacheField name="[calls].[Representative].[Representative]" caption="Representative" numFmtId="0" hierarchy="3" level="1">
      <sharedItems count="5">
        <s v="R01"/>
        <s v="R02"/>
        <s v="R03"/>
        <s v="R04"/>
        <s v="R05"/>
      </sharedItems>
    </cacheField>
    <cacheField name="[Measures].[Total Amount ]" caption="Total Amount " numFmtId="0" hierarchy="18" level="32767"/>
    <cacheField name="[customers].[City].[City]" caption="City" numFmtId="0" hierarchy="15" level="1">
      <sharedItems count="3">
        <s v="Cincinnati"/>
        <s v="Cleveland"/>
        <s v="Columbus"/>
      </sharedItems>
    </cacheField>
    <cacheField name="[calls].[Customer ID].[Customer ID]" caption="Customer ID" numFmtId="0" hierarchy="1" level="1">
      <sharedItems count="15">
        <s v="C0003"/>
        <s v="C0004"/>
        <s v="C0011"/>
        <s v="C0012"/>
        <s v="C0002"/>
        <s v="C0007"/>
        <s v="C0008"/>
        <s v="C0010"/>
        <s v="C0013"/>
        <s v="C0015"/>
        <s v="C0001"/>
        <s v="C0005"/>
        <s v="C0006"/>
        <s v="C0009"/>
        <s v="C0014"/>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3"/>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 caption="Total Amount " measure="1" displayFolder="" measureGroup="calls" count="0" oneField="1">
      <fieldsUsage count="1">
        <fieldUsage x="1"/>
      </fieldsUsage>
    </cacheHierarchy>
    <cacheHierarchy uniqueName="[Measures].[Total Duration ]" caption="Total Duration " measure="1" displayFolder="" measureGroup="calls" count="0"/>
    <cacheHierarchy uniqueName="[Measures].[Avg-Rating ]" caption="Avg-Rating "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 refreshedDate="45997.82320914352" backgroundQuery="1" createdVersion="8" refreshedVersion="8" minRefreshableVersion="3" recordCount="0" supportSubquery="1" supportAdvancedDrill="1" xr:uid="{3D3FF721-64C7-45A8-A268-CE91EF7C5F40}">
  <cacheSource type="external" connectionId="1"/>
  <cacheFields count="6">
    <cacheField name="[Measures].[Call Count]" caption="Call Count" numFmtId="0" hierarchy="17" level="32767"/>
    <cacheField name="[Measures].[Total Amount ]" caption="Total Amount " numFmtId="0" hierarchy="18" level="32767"/>
    <cacheField name="[Measures].[Total Duration ]" caption="Total Duration " numFmtId="0" hierarchy="19" level="32767"/>
    <cacheField name="[Measures].[Avg-Rating ]" caption="Avg-Rating "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 caption="Total Amount " measure="1" displayFolder="" measureGroup="calls" count="0" oneField="1">
      <fieldsUsage count="1">
        <fieldUsage x="1"/>
      </fieldsUsage>
    </cacheHierarchy>
    <cacheHierarchy uniqueName="[Measures].[Total Duration ]" caption="Total Duration " measure="1" displayFolder="" measureGroup="calls" count="0" oneField="1">
      <fieldsUsage count="1">
        <fieldUsage x="2"/>
      </fieldsUsage>
    </cacheHierarchy>
    <cacheHierarchy uniqueName="[Measures].[Avg-Rating ]" caption="Avg-Rating "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 refreshedDate="45997.823209606482" backgroundQuery="1" createdVersion="8" refreshedVersion="8" minRefreshableVersion="3" recordCount="0" supportSubquery="1" supportAdvancedDrill="1" xr:uid="{04B8AF74-9164-4773-A1E7-AB4A4067D5A9}">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01-31T00:00:00" count="11">
        <d v="2023-01-03T00:00:00"/>
        <d v="2023-01-05T00:00:00"/>
        <d v="2023-01-15T00:00:00"/>
        <d v="2023-01-16T00:00:00"/>
        <d v="2023-01-18T00:00:00"/>
        <d v="2023-01-19T00:00:00"/>
        <d v="2023-01-21T00:00:00"/>
        <d v="2023-01-24T00:00:00"/>
        <d v="2023-01-27T00:00:00"/>
        <d v="2023-01-28T00:00:00"/>
        <d v="2023-01-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 caption="Total Amount " measure="1" displayFolder="" measureGroup="calls" count="0"/>
    <cacheHierarchy uniqueName="[Measures].[Total Duration ]" caption="Total Duration " measure="1" displayFolder="" measureGroup="calls" count="0"/>
    <cacheHierarchy uniqueName="[Measures].[Avg-Rating ]" caption="Avg-Rating "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 refreshedDate="45997.823210185183" backgroundQuery="1" createdVersion="8" refreshedVersion="8" minRefreshableVersion="3" recordCount="0" supportSubquery="1" supportAdvancedDrill="1" xr:uid="{BAAFD400-0CA4-4493-A254-8F8AE132E1B4}">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 caption="Total Amount " measure="1" displayFolder="" measureGroup="calls" count="0"/>
    <cacheHierarchy uniqueName="[Measures].[Total Duration ]" caption="Total Duration " measure="1" displayFolder="" measureGroup="calls" count="0"/>
    <cacheHierarchy uniqueName="[Measures].[Avg-Rating ]" caption="Avg-Rating "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 refreshedDate="45997.823210648145" backgroundQuery="1" createdVersion="8" refreshedVersion="8" minRefreshableVersion="3" recordCount="0" supportSubquery="1" supportAdvancedDrill="1" xr:uid="{C12DAB85-FD5E-47E1-B850-29A3E5C52DD8}">
  <cacheSource type="external" connectionId="1"/>
  <cacheFields count="2">
    <cacheField name="[calls].[Representative].[Representative]" caption="Representative" numFmtId="0" hierarchy="3" level="1">
      <sharedItems count="1">
        <s v="R05"/>
      </sharedItems>
    </cacheField>
    <cacheField name="[calls].[Day of week].[Day of week]" caption="Day of week" numFmtId="0" hierarchy="8" level="1">
      <sharedItems count="7">
        <s v="Friday"/>
        <s v="Monday"/>
        <s v="Saturday"/>
        <s v="Sunday"/>
        <s v="Thursday"/>
        <s v="Tuesday"/>
        <s v="Wednesday"/>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 caption="Total Amount " measure="1" displayFolder="" measureGroup="calls" count="0"/>
    <cacheHierarchy uniqueName="[Measures].[Total Duration ]" caption="Total Duration " measure="1" displayFolder="" measureGroup="calls" count="0"/>
    <cacheHierarchy uniqueName="[Measures].[Avg-Rating ]" caption="Avg-Rating "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 refreshedDate="45997.823210995368" backgroundQuery="1" createdVersion="8" refreshedVersion="8" minRefreshableVersion="3" recordCount="0" supportSubquery="1" supportAdvancedDrill="1" xr:uid="{04947040-3EFF-4744-AAB9-D1F3596ABE04}">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 caption="Total Amount " measure="1" displayFolder="" measureGroup="calls" count="0"/>
    <cacheHierarchy uniqueName="[Measures].[Total Duration ]" caption="Total Duration " measure="1" displayFolder="" measureGroup="calls" count="0"/>
    <cacheHierarchy uniqueName="[Measures].[Avg-Rating ]" caption="Avg-Rating "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 refreshedDate="45997.793441666669" backgroundQuery="1" createdVersion="3" refreshedVersion="8" minRefreshableVersion="3" recordCount="0" supportSubquery="1" supportAdvancedDrill="1" xr:uid="{7A06D646-6365-4243-BE6D-D7292F7A5642}">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 caption="Total Amount " measure="1" displayFolder="" measureGroup="calls" count="0"/>
    <cacheHierarchy uniqueName="[Measures].[Total Duration ]" caption="Total Duration " measure="1" displayFolder="" measureGroup="calls" count="0"/>
    <cacheHierarchy uniqueName="[Measures].[Avg-Rating ]" caption="Avg-Rating "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8003749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8E63E-189A-487E-B861-1CD8BE21A6A9}" name="summary pivot " cacheId="4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6D0D72-79E7-4A39-927B-47398615F7E3}" name="overview" cacheId="452"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5">
  <location ref="D54:J73" firstHeaderRow="1" firstDataRow="2" firstDataCol="1"/>
  <pivotFields count="4">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2">
    <field x="2"/>
    <field x="3"/>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1"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BA5510-5D82-40E6-A523-37D593AD1011}" name="re_satisfaction" cacheId="68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F45:G50"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5BDEF8-70E2-455D-9522-ADA80CF30585}" name="reps pivot" cacheId="4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3:C39"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numFmtId="167"/>
    <dataField fld="2" subtotal="count" baseField="0" baseItem="0"/>
  </dataFields>
  <formats count="2">
    <format dxfId="21">
      <pivotArea outline="0" collapsedLevelsAreSubtotals="1" fieldPosition="0">
        <references count="1">
          <reference field="4294967294" count="1" selected="0">
            <x v="0"/>
          </reference>
        </references>
      </pivotArea>
    </format>
    <format dxfId="20">
      <pivotArea outline="0" fieldPosition="0">
        <references count="1">
          <reference field="4294967294" count="1">
            <x v="0"/>
          </reference>
        </references>
      </pivotArea>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AB0381-2C2A-4DB5-A18F-8A7A6D1DF997}" name="Weekday Trend" cacheId="6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F17:G25"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19"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4A1872-325D-4E1D-A637-68944CC26314}" name="Monthly trend " cacheId="6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7:C3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1">
        <item x="0"/>
        <item x="1"/>
        <item x="2"/>
        <item x="3"/>
        <item x="4"/>
        <item x="5"/>
        <item x="6"/>
        <item x="7"/>
        <item x="8"/>
        <item x="9"/>
        <item x="1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name="Call Count2" fld="3" subtotal="count" baseField="0" baseItem="0">
      <extLst>
        <ext xmlns:x14="http://schemas.microsoft.com/office/spreadsheetml/2009/9/main" uri="{E15A36E0-9728-4e99-A89B-3F7291B0FE68}">
          <x14:dataField sourceField="3" uniqueName="[__Xl2].[Measures].[Call Count]"/>
        </ext>
      </extLst>
    </dataField>
    <dataField fld="4" subtotal="count" baseField="0" baseItem="0">
      <extLst>
        <ext xmlns:x14="http://schemas.microsoft.com/office/spreadsheetml/2009/9/main" uri="{E15A36E0-9728-4e99-A89B-3F7291B0FE68}">
          <x14:dataField sourceField="3"/>
        </ext>
      </extLst>
    </dataField>
  </dataFields>
  <chartFormats count="2">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83BFA7-4911-4CF1-9357-4A49B21F1753}" name="fevsmale" cacheId="4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5:D50"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9">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0"/>
          </reference>
        </references>
      </pivotArea>
    </chartFormat>
    <chartFormat chart="3" format="3"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pivotArea type="data" outline="0" fieldPosition="0">
        <references count="3">
          <reference field="4294967294" count="1" selected="0">
            <x v="0"/>
          </reference>
          <reference field="0" count="1" selected="0">
            <x v="2"/>
          </reference>
          <reference field="1" count="1" selected="0">
            <x v="0"/>
          </reference>
        </references>
      </pivotArea>
    </chartFormat>
    <chartFormat chart="4" format="7">
      <pivotArea type="data" outline="0" fieldPosition="0">
        <references count="3">
          <reference field="4294967294" count="1" selected="0">
            <x v="0"/>
          </reference>
          <reference field="0" count="1" selected="0">
            <x v="1"/>
          </reference>
          <reference field="1" count="1" selected="0">
            <x v="0"/>
          </reference>
        </references>
      </pivotArea>
    </chartFormat>
    <chartFormat chart="4" format="8">
      <pivotArea type="data" outline="0" fieldPosition="0">
        <references count="3">
          <reference field="4294967294" count="1" selected="0">
            <x v="0"/>
          </reference>
          <reference field="0" count="1" selected="0">
            <x v="0"/>
          </reference>
          <reference field="1"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7A8917-0C89-459A-B58E-32500E74AFEA}" name="rep pivot" cacheId="6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C2EBEA-BF24-40B0-9D14-CF56D708CFF6}" name="SELECTED REP" cacheId="67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0">
  <location ref="A42:A43" firstHeaderRow="1" firstDataRow="1" firstDataCol="1"/>
  <pivotFields count="2">
    <pivotField axis="axisRow" allDrilled="1" subtotalTop="0" showAll="0" dataSourceSort="1" defaultSubtotal="0" defaultAttributeDrillState="1">
      <items count="1">
        <item s="1" x="0"/>
      </items>
    </pivotField>
    <pivotField allDrilled="1" subtotalTop="0" showAll="0" sortType="ascending" defaultSubtotal="0" defaultAttributeDrillState="1">
      <items count="7">
        <item x="3"/>
        <item x="1"/>
        <item x="5"/>
        <item x="6"/>
        <item x="4"/>
        <item x="0"/>
        <item x="2"/>
      </items>
    </pivotField>
  </pivotFields>
  <rowFields count="1">
    <field x="0"/>
  </rowFields>
  <rowItems count="1">
    <i>
      <x/>
    </i>
  </rowItem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0.png"/><Relationship Id="rId5" Type="http://schemas.openxmlformats.org/officeDocument/2006/relationships/image" Target="../media/image50.png"/><Relationship Id="rId4" Type="http://schemas.openxmlformats.org/officeDocument/2006/relationships/image" Target="../media/image40.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F12CAEDD-9C55-4FE7-8D80-EDDB3BA08DC7}" sourceName="[calls].[Representative]">
  <pivotTables>
    <pivotTable tabId="6" name="rep pivot"/>
    <pivotTable tabId="6" name="Monthly trend "/>
    <pivotTable tabId="6" name="Weekday Trend"/>
    <pivotTable tabId="6" name="SELECTED REP"/>
    <pivotTable tabId="6" name="re_satisfaction"/>
  </pivotTables>
  <data>
    <olap pivotCacheId="800374929">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172AF4F1-05AD-4276-AA53-1AF6A403C139}" cache="Slicer_Representative" caption="Representative"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9"/>
    <tableColumn id="5" xr3:uid="{5A35565E-8707-4DED-AD15-A0669D67B382}" name="Date of Call" dataDxfId="18"/>
    <tableColumn id="6" xr3:uid="{F2E4F158-B41F-47BC-8DF8-DFCADFEE4E40}" name="Purchase Amount"/>
    <tableColumn id="7" xr3:uid="{04B291B5-47BD-4F78-8FD8-D1551CCA6BD9}" name="Satisfaction Rating"/>
    <tableColumn id="8" xr3:uid="{6E4123C0-0B17-43B8-A142-A1E540CE974C}" name="FY" dataDxfId="17">
      <calculatedColumnFormula>IF(MONTH(calls[[#This Row],[Date of Call]])&lt;=6, YEAR(calls[[#This Row],[Date of Call]]), YEAR(calls[[#This Row],[Date of Call]])+1)</calculatedColumnFormula>
    </tableColumn>
    <tableColumn id="9" xr3:uid="{199FA271-5E9B-46CE-9BC6-2801F92CD17E}" name="Day of week" dataDxfId="16">
      <calculatedColumnFormula>TEXT(calls[[#This Row],[Date of Call]],"DDDD")</calculatedColumnFormula>
    </tableColumn>
    <tableColumn id="10" xr3:uid="{328CDB09-95B8-4D5E-9ED9-EF0D363735A1}" name="Duration Bucket" dataDxfId="15">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4">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3" headerRowBorderDxfId="12" tableBorderDxfId="11" totalsRowBorderDxfId="10">
  <autoFilter ref="Q3:T18" xr:uid="{27158F51-A707-4171-8A04-81FB0AABCBA5}"/>
  <tableColumns count="4">
    <tableColumn id="1" xr3:uid="{02688061-6A8C-4E23-B7FF-D00CD8B58CAC}" name="Customer ID" dataDxfId="9"/>
    <tableColumn id="2" xr3:uid="{771678B6-DB44-426B-9874-B4E421A440D5}" name="Gedner" dataDxfId="8"/>
    <tableColumn id="3" xr3:uid="{B0D41C62-587E-494D-B49A-603F2C05F8D3}" name="Age" dataDxfId="7"/>
    <tableColumn id="4" xr3:uid="{663F92D6-FE31-4D81-9E01-8D066DDC8A88}" name="City" dataDxfId="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38182-AEAE-4585-A064-916A472F4AF6}">
  <dimension ref="A3:K73"/>
  <sheetViews>
    <sheetView zoomScale="75" zoomScaleNormal="75" workbookViewId="0">
      <selection activeCell="N55" sqref="N55"/>
    </sheetView>
  </sheetViews>
  <sheetFormatPr defaultRowHeight="14.4" x14ac:dyDescent="0.3"/>
  <cols>
    <col min="1" max="1" width="13.296875" bestFit="1" customWidth="1"/>
    <col min="2" max="2" width="10.8984375" bestFit="1" customWidth="1"/>
    <col min="3" max="3" width="10" bestFit="1" customWidth="1"/>
    <col min="4" max="4" width="10.5" bestFit="1" customWidth="1"/>
    <col min="5" max="5" width="7" bestFit="1" customWidth="1"/>
    <col min="6" max="6" width="13.296875" bestFit="1" customWidth="1"/>
    <col min="7" max="7" width="10" bestFit="1" customWidth="1"/>
    <col min="8" max="9" width="6.3984375" bestFit="1" customWidth="1"/>
    <col min="10" max="10" width="10.796875" bestFit="1" customWidth="1"/>
    <col min="11" max="158" width="16.3984375" bestFit="1" customWidth="1"/>
    <col min="159" max="159" width="10.796875" bestFit="1" customWidth="1"/>
  </cols>
  <sheetData>
    <row r="3" spans="1:5" x14ac:dyDescent="0.3">
      <c r="A3" t="s">
        <v>1042</v>
      </c>
      <c r="B3" t="s">
        <v>1043</v>
      </c>
      <c r="C3" t="s">
        <v>1044</v>
      </c>
      <c r="D3" t="s">
        <v>1045</v>
      </c>
      <c r="E3" t="s">
        <v>1046</v>
      </c>
    </row>
    <row r="4" spans="1:5" x14ac:dyDescent="0.3">
      <c r="A4" s="21">
        <v>1000</v>
      </c>
      <c r="B4" s="22">
        <v>96623</v>
      </c>
      <c r="C4" s="21">
        <v>89850</v>
      </c>
      <c r="D4" s="23">
        <v>3.8854000000000033</v>
      </c>
      <c r="E4" s="21">
        <v>307</v>
      </c>
    </row>
    <row r="9" spans="1:5" x14ac:dyDescent="0.3">
      <c r="A9" t="s">
        <v>1042</v>
      </c>
      <c r="B9" t="s">
        <v>1043</v>
      </c>
      <c r="C9" t="s">
        <v>1044</v>
      </c>
      <c r="D9" t="s">
        <v>1045</v>
      </c>
      <c r="E9" t="s">
        <v>1046</v>
      </c>
    </row>
    <row r="10" spans="1:5" x14ac:dyDescent="0.3">
      <c r="A10" s="21">
        <v>200</v>
      </c>
      <c r="B10" s="22">
        <v>20104</v>
      </c>
      <c r="C10" s="21">
        <v>18209</v>
      </c>
      <c r="D10" s="23">
        <v>3.8824999999999998</v>
      </c>
      <c r="E10" s="21">
        <v>51</v>
      </c>
    </row>
    <row r="17" spans="1:7" x14ac:dyDescent="0.3">
      <c r="A17" s="24" t="s">
        <v>1060</v>
      </c>
      <c r="B17" t="s">
        <v>1061</v>
      </c>
      <c r="C17" t="s">
        <v>1042</v>
      </c>
      <c r="F17" s="24" t="s">
        <v>1060</v>
      </c>
      <c r="G17" t="s">
        <v>1042</v>
      </c>
    </row>
    <row r="18" spans="1:7" x14ac:dyDescent="0.3">
      <c r="A18" s="25" t="s">
        <v>1048</v>
      </c>
      <c r="B18" s="21">
        <v>21</v>
      </c>
      <c r="C18" s="21">
        <v>21</v>
      </c>
      <c r="F18" s="25" t="s">
        <v>1065</v>
      </c>
      <c r="G18" s="21">
        <v>27</v>
      </c>
    </row>
    <row r="19" spans="1:7" x14ac:dyDescent="0.3">
      <c r="A19" s="25" t="s">
        <v>1049</v>
      </c>
      <c r="B19" s="21">
        <v>18</v>
      </c>
      <c r="C19" s="21">
        <v>18</v>
      </c>
      <c r="F19" s="25" t="s">
        <v>1063</v>
      </c>
      <c r="G19" s="21">
        <v>22</v>
      </c>
    </row>
    <row r="20" spans="1:7" x14ac:dyDescent="0.3">
      <c r="A20" s="25" t="s">
        <v>1050</v>
      </c>
      <c r="B20" s="21">
        <v>31</v>
      </c>
      <c r="C20" s="21">
        <v>31</v>
      </c>
      <c r="F20" s="25" t="s">
        <v>1067</v>
      </c>
      <c r="G20" s="21">
        <v>27</v>
      </c>
    </row>
    <row r="21" spans="1:7" x14ac:dyDescent="0.3">
      <c r="A21" s="25" t="s">
        <v>1051</v>
      </c>
      <c r="B21" s="21">
        <v>20</v>
      </c>
      <c r="C21" s="21">
        <v>20</v>
      </c>
      <c r="F21" s="25" t="s">
        <v>1068</v>
      </c>
      <c r="G21" s="21">
        <v>27</v>
      </c>
    </row>
    <row r="22" spans="1:7" x14ac:dyDescent="0.3">
      <c r="A22" s="25" t="s">
        <v>1052</v>
      </c>
      <c r="B22" s="21">
        <v>8</v>
      </c>
      <c r="C22" s="21">
        <v>8</v>
      </c>
      <c r="F22" s="25" t="s">
        <v>1066</v>
      </c>
      <c r="G22" s="21">
        <v>27</v>
      </c>
    </row>
    <row r="23" spans="1:7" x14ac:dyDescent="0.3">
      <c r="A23" s="25" t="s">
        <v>1053</v>
      </c>
      <c r="B23" s="21">
        <v>12</v>
      </c>
      <c r="C23" s="21">
        <v>12</v>
      </c>
      <c r="F23" s="25" t="s">
        <v>1062</v>
      </c>
      <c r="G23" s="21">
        <v>32</v>
      </c>
    </row>
    <row r="24" spans="1:7" x14ac:dyDescent="0.3">
      <c r="A24" s="25" t="s">
        <v>1054</v>
      </c>
      <c r="B24" s="21">
        <v>12</v>
      </c>
      <c r="C24" s="21">
        <v>12</v>
      </c>
      <c r="F24" s="25" t="s">
        <v>1064</v>
      </c>
      <c r="G24" s="21">
        <v>38</v>
      </c>
    </row>
    <row r="25" spans="1:7" x14ac:dyDescent="0.3">
      <c r="A25" s="25" t="s">
        <v>1055</v>
      </c>
      <c r="B25" s="21">
        <v>7</v>
      </c>
      <c r="C25" s="21">
        <v>7</v>
      </c>
      <c r="F25" s="25" t="s">
        <v>1047</v>
      </c>
      <c r="G25" s="21">
        <v>200</v>
      </c>
    </row>
    <row r="26" spans="1:7" x14ac:dyDescent="0.3">
      <c r="A26" s="25" t="s">
        <v>1056</v>
      </c>
      <c r="B26" s="21">
        <v>20</v>
      </c>
      <c r="C26" s="21">
        <v>20</v>
      </c>
    </row>
    <row r="27" spans="1:7" x14ac:dyDescent="0.3">
      <c r="A27" s="25" t="s">
        <v>1057</v>
      </c>
      <c r="B27" s="21">
        <v>24</v>
      </c>
      <c r="C27" s="21">
        <v>24</v>
      </c>
    </row>
    <row r="28" spans="1:7" x14ac:dyDescent="0.3">
      <c r="A28" s="25" t="s">
        <v>1058</v>
      </c>
      <c r="B28" s="21">
        <v>12</v>
      </c>
      <c r="C28" s="21">
        <v>12</v>
      </c>
    </row>
    <row r="29" spans="1:7" x14ac:dyDescent="0.3">
      <c r="A29" s="25" t="s">
        <v>1059</v>
      </c>
      <c r="B29" s="21">
        <v>15</v>
      </c>
      <c r="C29" s="21">
        <v>15</v>
      </c>
    </row>
    <row r="30" spans="1:7" x14ac:dyDescent="0.3">
      <c r="A30" s="25" t="s">
        <v>1047</v>
      </c>
      <c r="B30" s="21">
        <v>200</v>
      </c>
      <c r="C30" s="21">
        <v>200</v>
      </c>
    </row>
    <row r="33" spans="1:11" x14ac:dyDescent="0.3">
      <c r="A33" s="24" t="s">
        <v>1060</v>
      </c>
      <c r="B33" t="s">
        <v>1043</v>
      </c>
      <c r="C33" t="s">
        <v>1042</v>
      </c>
      <c r="D33" t="s">
        <v>1069</v>
      </c>
      <c r="E33" t="s">
        <v>1070</v>
      </c>
      <c r="F33" t="s">
        <v>1073</v>
      </c>
      <c r="G33" t="s">
        <v>1071</v>
      </c>
      <c r="H33" s="27" t="s">
        <v>1072</v>
      </c>
    </row>
    <row r="34" spans="1:11" x14ac:dyDescent="0.3">
      <c r="A34" s="25" t="s">
        <v>11</v>
      </c>
      <c r="B34" s="26">
        <v>18415</v>
      </c>
      <c r="C34" s="21">
        <v>189</v>
      </c>
      <c r="D34" t="str" cm="1">
        <f t="array" ref="D34:F38">A34:C38</f>
        <v>R01</v>
      </c>
      <c r="E34" s="26">
        <v>18415</v>
      </c>
      <c r="F34">
        <v>189</v>
      </c>
      <c r="G34" t="e">
        <f>IF(D34=$E$40,F34,NA())</f>
        <v>#N/A</v>
      </c>
      <c r="H34" s="26" t="e">
        <f>IF(D34=$E$40,E34,NA())</f>
        <v>#N/A</v>
      </c>
    </row>
    <row r="35" spans="1:11" x14ac:dyDescent="0.3">
      <c r="A35" s="25" t="s">
        <v>9</v>
      </c>
      <c r="B35" s="26">
        <v>20581</v>
      </c>
      <c r="C35" s="21">
        <v>218</v>
      </c>
      <c r="D35" t="str">
        <v>R02</v>
      </c>
      <c r="E35" s="26">
        <v>20581</v>
      </c>
      <c r="F35">
        <v>218</v>
      </c>
      <c r="G35" t="e">
        <f>IF(D35=$E$40,F35,NA())</f>
        <v>#N/A</v>
      </c>
      <c r="H35" s="26" t="e">
        <f>IF(D35=$E$40,E35,NA())</f>
        <v>#N/A</v>
      </c>
    </row>
    <row r="36" spans="1:11" x14ac:dyDescent="0.3">
      <c r="A36" s="25" t="s">
        <v>6</v>
      </c>
      <c r="B36" s="26">
        <v>20872</v>
      </c>
      <c r="C36" s="21">
        <v>207</v>
      </c>
      <c r="D36" t="str">
        <v>R03</v>
      </c>
      <c r="E36" s="26">
        <v>20872</v>
      </c>
      <c r="F36">
        <v>207</v>
      </c>
      <c r="G36" t="e">
        <f>IF(D36=$E$40,F36,NA())</f>
        <v>#N/A</v>
      </c>
      <c r="H36" s="26" t="e">
        <f>IF(D36=$E$40,E36,NA())</f>
        <v>#N/A</v>
      </c>
      <c r="K36">
        <f>Assets!F4</f>
        <v>0</v>
      </c>
    </row>
    <row r="37" spans="1:11" x14ac:dyDescent="0.3">
      <c r="A37" s="25" t="s">
        <v>13</v>
      </c>
      <c r="B37" s="26">
        <v>16651</v>
      </c>
      <c r="C37" s="21">
        <v>186</v>
      </c>
      <c r="D37" t="str">
        <v>R04</v>
      </c>
      <c r="E37" s="26">
        <v>16651</v>
      </c>
      <c r="F37">
        <v>186</v>
      </c>
      <c r="G37" t="e">
        <f>IF(D37=$E$40,F37,NA())</f>
        <v>#N/A</v>
      </c>
      <c r="H37" s="26" t="e">
        <f>IF(D37=$E$40,E37,NA())</f>
        <v>#N/A</v>
      </c>
      <c r="K37">
        <f>Assets!F4</f>
        <v>0</v>
      </c>
    </row>
    <row r="38" spans="1:11" x14ac:dyDescent="0.3">
      <c r="A38" s="25" t="s">
        <v>10</v>
      </c>
      <c r="B38" s="26">
        <v>20104</v>
      </c>
      <c r="C38" s="21">
        <v>200</v>
      </c>
      <c r="D38" t="str">
        <v>R05</v>
      </c>
      <c r="E38" s="26">
        <v>20104</v>
      </c>
      <c r="F38">
        <v>200</v>
      </c>
      <c r="G38">
        <f>IF(D38=$E$40,F38,NA())</f>
        <v>200</v>
      </c>
      <c r="H38" s="26">
        <f>IF(D38=$E$40,E38,NA())</f>
        <v>20104</v>
      </c>
    </row>
    <row r="39" spans="1:11" x14ac:dyDescent="0.3">
      <c r="A39" s="25" t="s">
        <v>1047</v>
      </c>
      <c r="B39" s="26">
        <v>96623</v>
      </c>
      <c r="C39" s="21">
        <v>1000</v>
      </c>
    </row>
    <row r="40" spans="1:11" x14ac:dyDescent="0.3">
      <c r="D40" t="s">
        <v>1074</v>
      </c>
      <c r="E40" t="str">
        <f>A43</f>
        <v>R05</v>
      </c>
    </row>
    <row r="41" spans="1:11" x14ac:dyDescent="0.3">
      <c r="J41" t="s">
        <v>1078</v>
      </c>
    </row>
    <row r="42" spans="1:11" x14ac:dyDescent="0.3">
      <c r="A42" s="24" t="s">
        <v>1060</v>
      </c>
      <c r="J42" t="s">
        <v>1079</v>
      </c>
      <c r="K42" s="42">
        <f>A10/A4</f>
        <v>0.2</v>
      </c>
    </row>
    <row r="43" spans="1:11" x14ac:dyDescent="0.3">
      <c r="A43" s="25" t="s">
        <v>10</v>
      </c>
      <c r="J43" t="s">
        <v>1082</v>
      </c>
      <c r="K43">
        <f>_xlfn.XLOOKUP(A43,D34:D38,F34:F38)</f>
        <v>200</v>
      </c>
    </row>
    <row r="44" spans="1:11" x14ac:dyDescent="0.3">
      <c r="J44" t="s">
        <v>1083</v>
      </c>
      <c r="K44">
        <f>_xlfn.XLOOKUP(A43,D34:D38,E34:E38)</f>
        <v>20104</v>
      </c>
    </row>
    <row r="45" spans="1:11" x14ac:dyDescent="0.3">
      <c r="A45" s="24" t="s">
        <v>1042</v>
      </c>
      <c r="B45" s="24" t="s">
        <v>1075</v>
      </c>
      <c r="F45" s="24" t="s">
        <v>1060</v>
      </c>
      <c r="G45" t="s">
        <v>1042</v>
      </c>
    </row>
    <row r="46" spans="1:11" x14ac:dyDescent="0.3">
      <c r="A46" s="24" t="s">
        <v>1060</v>
      </c>
      <c r="B46" t="s">
        <v>999</v>
      </c>
      <c r="C46" t="s">
        <v>998</v>
      </c>
      <c r="D46" t="s">
        <v>1047</v>
      </c>
      <c r="F46" s="25">
        <v>2</v>
      </c>
      <c r="G46" s="21">
        <v>10</v>
      </c>
      <c r="J46" t="s">
        <v>1080</v>
      </c>
      <c r="K46">
        <f>_xlfn.RANK.AVG(K43,F34:F38)</f>
        <v>3</v>
      </c>
    </row>
    <row r="47" spans="1:11" x14ac:dyDescent="0.3">
      <c r="A47" s="25" t="s">
        <v>1002</v>
      </c>
      <c r="B47" s="21">
        <v>144</v>
      </c>
      <c r="C47" s="21">
        <v>132</v>
      </c>
      <c r="D47" s="21">
        <v>276</v>
      </c>
      <c r="F47" s="25">
        <v>3</v>
      </c>
      <c r="G47" s="21">
        <v>44</v>
      </c>
      <c r="J47" t="s">
        <v>1081</v>
      </c>
      <c r="K47">
        <f>_xlfn.RANK.AVG(K44,E34:E38)</f>
        <v>3</v>
      </c>
    </row>
    <row r="48" spans="1:11" x14ac:dyDescent="0.3">
      <c r="A48" s="25" t="s">
        <v>1001</v>
      </c>
      <c r="B48" s="21">
        <v>326</v>
      </c>
      <c r="C48" s="21">
        <v>63</v>
      </c>
      <c r="D48" s="21">
        <v>389</v>
      </c>
      <c r="F48" s="25">
        <v>4</v>
      </c>
      <c r="G48" s="21">
        <v>95</v>
      </c>
    </row>
    <row r="49" spans="1:11" x14ac:dyDescent="0.3">
      <c r="A49" s="25" t="s">
        <v>1000</v>
      </c>
      <c r="B49" s="21">
        <v>129</v>
      </c>
      <c r="C49" s="21">
        <v>206</v>
      </c>
      <c r="D49" s="21">
        <v>335</v>
      </c>
      <c r="F49" s="25">
        <v>5</v>
      </c>
      <c r="G49" s="21">
        <v>51</v>
      </c>
      <c r="J49" t="s">
        <v>1084</v>
      </c>
    </row>
    <row r="50" spans="1:11" x14ac:dyDescent="0.3">
      <c r="A50" s="25" t="s">
        <v>1047</v>
      </c>
      <c r="B50" s="21">
        <v>599</v>
      </c>
      <c r="C50" s="21">
        <v>401</v>
      </c>
      <c r="D50" s="21">
        <v>1000</v>
      </c>
      <c r="F50" s="25" t="s">
        <v>1047</v>
      </c>
      <c r="G50" s="21">
        <v>200</v>
      </c>
      <c r="K50" t="str">
        <f>"%OF calls: "&amp;TEXT(K42,"0%")</f>
        <v>%OF calls: 20%</v>
      </c>
    </row>
    <row r="51" spans="1:11" x14ac:dyDescent="0.3">
      <c r="K51" t="str">
        <f>IF(COUNTA(A43:A44)&gt;1,"","Call Rank: "&amp;K46)</f>
        <v>Call Rank: 3</v>
      </c>
    </row>
    <row r="52" spans="1:11" x14ac:dyDescent="0.3">
      <c r="K52" t="str">
        <f>IF(COUNTA(A43:A44)&gt;1,"","Amount Rank: "&amp;K47)</f>
        <v>Amount Rank: 3</v>
      </c>
    </row>
    <row r="53" spans="1:11" x14ac:dyDescent="0.3">
      <c r="J53" t="s">
        <v>1085</v>
      </c>
      <c r="K53" t="e">
        <f>IF(COUNTA(A43:A44)&gt;1,"",_xlfn.XLOOKUP(A43,pivot!E3:E7,pivot!F3:F7))</f>
        <v>#N/A</v>
      </c>
    </row>
    <row r="54" spans="1:11" x14ac:dyDescent="0.3">
      <c r="D54" s="24" t="s">
        <v>1043</v>
      </c>
      <c r="E54" s="24" t="s">
        <v>1075</v>
      </c>
    </row>
    <row r="55" spans="1:11" x14ac:dyDescent="0.3">
      <c r="D55" s="24" t="s">
        <v>1060</v>
      </c>
      <c r="E55" t="s">
        <v>11</v>
      </c>
      <c r="F55" t="s">
        <v>9</v>
      </c>
      <c r="G55" t="s">
        <v>6</v>
      </c>
      <c r="H55" t="s">
        <v>13</v>
      </c>
      <c r="I55" t="s">
        <v>10</v>
      </c>
      <c r="J55" t="s">
        <v>1047</v>
      </c>
    </row>
    <row r="56" spans="1:11" x14ac:dyDescent="0.3">
      <c r="D56" s="25" t="s">
        <v>1002</v>
      </c>
      <c r="E56" s="46"/>
      <c r="F56" s="46"/>
      <c r="G56" s="46"/>
      <c r="H56" s="46"/>
      <c r="I56" s="46"/>
      <c r="J56" s="46"/>
    </row>
    <row r="57" spans="1:11" x14ac:dyDescent="0.3">
      <c r="D57" s="28" t="s">
        <v>20</v>
      </c>
      <c r="E57" s="22">
        <v>891</v>
      </c>
      <c r="F57" s="22">
        <v>1332</v>
      </c>
      <c r="G57" s="22">
        <v>1282</v>
      </c>
      <c r="H57" s="22">
        <v>739</v>
      </c>
      <c r="I57" s="22">
        <v>560</v>
      </c>
      <c r="J57" s="22">
        <v>4804</v>
      </c>
    </row>
    <row r="58" spans="1:11" x14ac:dyDescent="0.3">
      <c r="D58" s="28" t="s">
        <v>12</v>
      </c>
      <c r="E58" s="22">
        <v>1991</v>
      </c>
      <c r="F58" s="22">
        <v>1886</v>
      </c>
      <c r="G58" s="22">
        <v>1206</v>
      </c>
      <c r="H58" s="22">
        <v>884</v>
      </c>
      <c r="I58" s="22">
        <v>1722</v>
      </c>
      <c r="J58" s="22">
        <v>7689</v>
      </c>
    </row>
    <row r="59" spans="1:11" x14ac:dyDescent="0.3">
      <c r="D59" s="28" t="s">
        <v>8</v>
      </c>
      <c r="E59" s="22">
        <v>1163</v>
      </c>
      <c r="F59" s="22">
        <v>1180</v>
      </c>
      <c r="G59" s="22">
        <v>1616</v>
      </c>
      <c r="H59" s="22">
        <v>1043</v>
      </c>
      <c r="I59" s="22">
        <v>1747</v>
      </c>
      <c r="J59" s="22">
        <v>6749</v>
      </c>
    </row>
    <row r="60" spans="1:11" x14ac:dyDescent="0.3">
      <c r="D60" s="28" t="s">
        <v>16</v>
      </c>
      <c r="E60" s="22">
        <v>1438</v>
      </c>
      <c r="F60" s="22">
        <v>1616</v>
      </c>
      <c r="G60" s="22">
        <v>866</v>
      </c>
      <c r="H60" s="22">
        <v>829</v>
      </c>
      <c r="I60" s="22">
        <v>2070</v>
      </c>
      <c r="J60" s="22">
        <v>6819</v>
      </c>
    </row>
    <row r="61" spans="1:11" x14ac:dyDescent="0.3">
      <c r="D61" s="25" t="s">
        <v>1001</v>
      </c>
      <c r="E61" s="46"/>
      <c r="F61" s="46"/>
      <c r="G61" s="46"/>
      <c r="H61" s="46"/>
      <c r="I61" s="46"/>
      <c r="J61" s="46"/>
    </row>
    <row r="62" spans="1:11" x14ac:dyDescent="0.3">
      <c r="D62" s="28" t="s">
        <v>24</v>
      </c>
      <c r="E62" s="22">
        <v>1233</v>
      </c>
      <c r="F62" s="22">
        <v>223</v>
      </c>
      <c r="G62" s="22">
        <v>1680</v>
      </c>
      <c r="H62" s="22">
        <v>990</v>
      </c>
      <c r="I62" s="22">
        <v>1508</v>
      </c>
      <c r="J62" s="22">
        <v>5634</v>
      </c>
    </row>
    <row r="63" spans="1:11" x14ac:dyDescent="0.3">
      <c r="D63" s="28" t="s">
        <v>15</v>
      </c>
      <c r="E63" s="22">
        <v>1598</v>
      </c>
      <c r="F63" s="22">
        <v>1907</v>
      </c>
      <c r="G63" s="22">
        <v>869</v>
      </c>
      <c r="H63" s="22">
        <v>1426</v>
      </c>
      <c r="I63" s="22">
        <v>1416</v>
      </c>
      <c r="J63" s="22">
        <v>7216</v>
      </c>
    </row>
    <row r="64" spans="1:11" x14ac:dyDescent="0.3">
      <c r="D64" s="28" t="s">
        <v>5</v>
      </c>
      <c r="E64" s="22">
        <v>900</v>
      </c>
      <c r="F64" s="22">
        <v>1016</v>
      </c>
      <c r="G64" s="22">
        <v>960</v>
      </c>
      <c r="H64" s="22">
        <v>940</v>
      </c>
      <c r="I64" s="22">
        <v>1193</v>
      </c>
      <c r="J64" s="22">
        <v>5009</v>
      </c>
    </row>
    <row r="65" spans="4:10" x14ac:dyDescent="0.3">
      <c r="D65" s="28" t="s">
        <v>18</v>
      </c>
      <c r="E65" s="22">
        <v>900</v>
      </c>
      <c r="F65" s="22">
        <v>1470</v>
      </c>
      <c r="G65" s="22">
        <v>1617</v>
      </c>
      <c r="H65" s="22">
        <v>1314</v>
      </c>
      <c r="I65" s="22">
        <v>941</v>
      </c>
      <c r="J65" s="22">
        <v>6242</v>
      </c>
    </row>
    <row r="66" spans="4:10" x14ac:dyDescent="0.3">
      <c r="D66" s="28" t="s">
        <v>14</v>
      </c>
      <c r="E66" s="22">
        <v>1255</v>
      </c>
      <c r="F66" s="22">
        <v>516</v>
      </c>
      <c r="G66" s="22">
        <v>1874</v>
      </c>
      <c r="H66" s="22">
        <v>1863</v>
      </c>
      <c r="I66" s="22">
        <v>1722</v>
      </c>
      <c r="J66" s="22">
        <v>7230</v>
      </c>
    </row>
    <row r="67" spans="4:10" x14ac:dyDescent="0.3">
      <c r="D67" s="28" t="s">
        <v>19</v>
      </c>
      <c r="E67" s="22">
        <v>1138</v>
      </c>
      <c r="F67" s="22">
        <v>1898</v>
      </c>
      <c r="G67" s="22">
        <v>1482</v>
      </c>
      <c r="H67" s="22">
        <v>846</v>
      </c>
      <c r="I67" s="22">
        <v>1154</v>
      </c>
      <c r="J67" s="22">
        <v>6518</v>
      </c>
    </row>
    <row r="68" spans="4:10" x14ac:dyDescent="0.3">
      <c r="D68" s="25" t="s">
        <v>1000</v>
      </c>
      <c r="E68" s="46"/>
      <c r="F68" s="46"/>
      <c r="G68" s="46"/>
      <c r="H68" s="46"/>
      <c r="I68" s="46"/>
      <c r="J68" s="46"/>
    </row>
    <row r="69" spans="4:10" x14ac:dyDescent="0.3">
      <c r="D69" s="28" t="s">
        <v>17</v>
      </c>
      <c r="E69" s="22">
        <v>1655</v>
      </c>
      <c r="F69" s="22">
        <v>805</v>
      </c>
      <c r="G69" s="22">
        <v>2263</v>
      </c>
      <c r="H69" s="22">
        <v>987</v>
      </c>
      <c r="I69" s="22">
        <v>1075</v>
      </c>
      <c r="J69" s="22">
        <v>6785</v>
      </c>
    </row>
    <row r="70" spans="4:10" x14ac:dyDescent="0.3">
      <c r="D70" s="28" t="s">
        <v>23</v>
      </c>
      <c r="E70" s="22">
        <v>1104</v>
      </c>
      <c r="F70" s="22">
        <v>2280</v>
      </c>
      <c r="G70" s="22">
        <v>1445</v>
      </c>
      <c r="H70" s="22">
        <v>1722</v>
      </c>
      <c r="I70" s="22">
        <v>1196</v>
      </c>
      <c r="J70" s="22">
        <v>7747</v>
      </c>
    </row>
    <row r="71" spans="4:10" x14ac:dyDescent="0.3">
      <c r="D71" s="28" t="s">
        <v>7</v>
      </c>
      <c r="E71" s="22">
        <v>372</v>
      </c>
      <c r="F71" s="22">
        <v>1818</v>
      </c>
      <c r="G71" s="22">
        <v>1346</v>
      </c>
      <c r="H71" s="22">
        <v>1156</v>
      </c>
      <c r="I71" s="22">
        <v>1484</v>
      </c>
      <c r="J71" s="22">
        <v>6176</v>
      </c>
    </row>
    <row r="72" spans="4:10" x14ac:dyDescent="0.3">
      <c r="D72" s="28" t="s">
        <v>22</v>
      </c>
      <c r="E72" s="22">
        <v>1415</v>
      </c>
      <c r="F72" s="22">
        <v>1271</v>
      </c>
      <c r="G72" s="22">
        <v>1214</v>
      </c>
      <c r="H72" s="22">
        <v>1135</v>
      </c>
      <c r="I72" s="22">
        <v>1566</v>
      </c>
      <c r="J72" s="22">
        <v>6601</v>
      </c>
    </row>
    <row r="73" spans="4:10" x14ac:dyDescent="0.3">
      <c r="D73" s="28" t="s">
        <v>21</v>
      </c>
      <c r="E73" s="22">
        <v>1362</v>
      </c>
      <c r="F73" s="22">
        <v>1363</v>
      </c>
      <c r="G73" s="22">
        <v>1152</v>
      </c>
      <c r="H73" s="22">
        <v>777</v>
      </c>
      <c r="I73" s="22">
        <v>750</v>
      </c>
      <c r="J73" s="22">
        <v>5404</v>
      </c>
    </row>
  </sheetData>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975" zoomScale="65" zoomScaleNormal="115" workbookViewId="0">
      <selection activeCell="I9" sqref="I9"/>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0C17D-9748-4BD6-9EA9-E790ACFF8892}">
  <dimension ref="A1:AJ50"/>
  <sheetViews>
    <sheetView tabSelected="1" topLeftCell="B1" zoomScale="67" zoomScaleNormal="68" workbookViewId="0">
      <selection activeCell="Z17" sqref="Z17"/>
    </sheetView>
  </sheetViews>
  <sheetFormatPr defaultRowHeight="14.4" x14ac:dyDescent="0.3"/>
  <cols>
    <col min="1" max="2" width="8.796875" customWidth="1"/>
    <col min="15" max="15" width="3.5" customWidth="1"/>
    <col min="16" max="16" width="10.69921875" customWidth="1"/>
  </cols>
  <sheetData>
    <row r="1" spans="1:36" ht="34.799999999999997" customHeight="1" x14ac:dyDescent="0.6">
      <c r="A1" s="20"/>
      <c r="B1" s="20"/>
      <c r="C1" s="45" t="s">
        <v>1086</v>
      </c>
      <c r="D1" s="43"/>
      <c r="E1" s="43"/>
      <c r="F1" s="43"/>
      <c r="G1" s="43"/>
      <c r="H1" s="43"/>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row>
    <row r="2" spans="1:36" ht="8.4" customHeight="1"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row>
    <row r="3" spans="1:36"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row>
    <row r="4" spans="1:36"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row>
    <row r="5" spans="1:36"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row>
    <row r="6" spans="1:36"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row>
    <row r="7" spans="1:36"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row>
    <row r="8" spans="1:36"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row>
    <row r="9" spans="1:36"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row>
    <row r="10" spans="1:36"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row>
    <row r="11" spans="1:36"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row>
    <row r="12" spans="1:36"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row>
    <row r="13" spans="1:36"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row>
    <row r="14" spans="1:36"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row>
    <row r="15" spans="1:36"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row>
    <row r="16" spans="1:36"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row>
    <row r="17" spans="1:36"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row>
    <row r="18" spans="1:36"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row>
    <row r="19" spans="1:36" ht="15.6" x14ac:dyDescent="0.3">
      <c r="A19" s="20"/>
      <c r="B19" s="20"/>
      <c r="C19" s="20"/>
      <c r="D19" s="20"/>
      <c r="E19" s="20"/>
      <c r="F19" s="20"/>
      <c r="G19" s="20"/>
      <c r="H19" s="20"/>
      <c r="I19" s="20"/>
      <c r="J19" s="20"/>
      <c r="K19" s="20"/>
      <c r="L19" s="20"/>
      <c r="M19" s="20"/>
      <c r="N19" s="20"/>
      <c r="O19" s="20"/>
      <c r="P19" s="29"/>
      <c r="Q19" s="38" t="str" cm="1">
        <f t="array" ref="Q19:U19">pivot!E55:I55</f>
        <v>R01</v>
      </c>
      <c r="R19" s="38" t="str">
        <v>R02</v>
      </c>
      <c r="S19" s="38" t="str">
        <v>R03</v>
      </c>
      <c r="T19" s="38" t="str">
        <v>R04</v>
      </c>
      <c r="U19" s="38" t="str">
        <v>R05</v>
      </c>
      <c r="V19" s="39" t="s">
        <v>1076</v>
      </c>
      <c r="W19" s="20"/>
      <c r="X19" s="20"/>
      <c r="Y19" s="20"/>
      <c r="Z19" s="20"/>
      <c r="AA19" s="20"/>
      <c r="AB19" s="20"/>
      <c r="AC19" s="20"/>
      <c r="AD19" s="20"/>
      <c r="AE19" s="20"/>
      <c r="AF19" s="20"/>
      <c r="AG19" s="20"/>
      <c r="AH19" s="20"/>
      <c r="AI19" s="20"/>
      <c r="AJ19" s="20"/>
    </row>
    <row r="20" spans="1:36" x14ac:dyDescent="0.3">
      <c r="A20" s="20"/>
      <c r="B20" s="20"/>
      <c r="C20" s="20"/>
      <c r="D20" s="20"/>
      <c r="E20" s="20"/>
      <c r="F20" s="20"/>
      <c r="G20" s="20"/>
      <c r="H20" s="20"/>
      <c r="I20" s="20"/>
      <c r="J20" s="20"/>
      <c r="K20" s="20"/>
      <c r="L20" s="20"/>
      <c r="M20" s="20"/>
      <c r="N20" s="20"/>
      <c r="O20" s="20"/>
      <c r="P20" s="40" t="str" cm="1">
        <f t="array" ref="P20:V37">IF(pivot!D56:J73="","",pivot!D56:J73)</f>
        <v>Cincinnati</v>
      </c>
      <c r="Q20" s="31" t="str">
        <v/>
      </c>
      <c r="R20" s="31" t="str">
        <v/>
      </c>
      <c r="S20" s="31" t="str">
        <v/>
      </c>
      <c r="T20" s="31" t="str">
        <v/>
      </c>
      <c r="U20" s="31" t="str">
        <v/>
      </c>
      <c r="V20" s="32" t="str">
        <v/>
      </c>
      <c r="W20" s="20"/>
      <c r="X20" s="20"/>
      <c r="Y20" s="20"/>
      <c r="Z20" s="20"/>
      <c r="AA20" s="20"/>
      <c r="AB20" s="20"/>
      <c r="AC20" s="20"/>
      <c r="AD20" s="20"/>
      <c r="AE20" s="20"/>
      <c r="AF20" s="20"/>
      <c r="AG20" s="20"/>
      <c r="AH20" s="20"/>
      <c r="AI20" s="20"/>
      <c r="AJ20" s="20"/>
    </row>
    <row r="21" spans="1:36" x14ac:dyDescent="0.3">
      <c r="A21" s="20"/>
      <c r="B21" s="20"/>
      <c r="C21" s="20"/>
      <c r="D21" s="20"/>
      <c r="E21" s="20"/>
      <c r="F21" s="20"/>
      <c r="G21" s="20"/>
      <c r="H21" s="20"/>
      <c r="I21" s="20"/>
      <c r="J21" s="20"/>
      <c r="K21" s="20"/>
      <c r="L21" s="20"/>
      <c r="M21" s="20"/>
      <c r="N21" s="20"/>
      <c r="O21" s="20"/>
      <c r="P21" s="30" t="str">
        <v>C0003</v>
      </c>
      <c r="Q21" s="33">
        <v>891</v>
      </c>
      <c r="R21" s="33">
        <v>1332</v>
      </c>
      <c r="S21" s="33">
        <v>1282</v>
      </c>
      <c r="T21" s="33">
        <v>739</v>
      </c>
      <c r="U21" s="33">
        <v>560</v>
      </c>
      <c r="V21" s="34">
        <v>4804</v>
      </c>
      <c r="W21" s="20"/>
      <c r="X21" s="20"/>
      <c r="Y21" s="20"/>
      <c r="Z21" s="20"/>
      <c r="AA21" s="20"/>
      <c r="AB21" s="20"/>
      <c r="AC21" s="20"/>
      <c r="AD21" s="20"/>
      <c r="AE21" s="20"/>
      <c r="AF21" s="20"/>
      <c r="AG21" s="20"/>
      <c r="AH21" s="20"/>
      <c r="AI21" s="20"/>
      <c r="AJ21" s="20"/>
    </row>
    <row r="22" spans="1:36" x14ac:dyDescent="0.3">
      <c r="A22" s="20"/>
      <c r="B22" s="20"/>
      <c r="C22" s="20"/>
      <c r="D22" s="20"/>
      <c r="E22" s="20"/>
      <c r="F22" s="20"/>
      <c r="G22" s="20"/>
      <c r="H22" s="20"/>
      <c r="I22" s="20"/>
      <c r="J22" s="20"/>
      <c r="K22" s="20"/>
      <c r="L22" s="20"/>
      <c r="M22" s="20"/>
      <c r="N22" s="20"/>
      <c r="O22" s="20"/>
      <c r="P22" s="30" t="str">
        <v>C0004</v>
      </c>
      <c r="Q22" s="33">
        <v>1991</v>
      </c>
      <c r="R22" s="33">
        <v>1886</v>
      </c>
      <c r="S22" s="33">
        <v>1206</v>
      </c>
      <c r="T22" s="33">
        <v>884</v>
      </c>
      <c r="U22" s="33">
        <v>1722</v>
      </c>
      <c r="V22" s="34">
        <v>7689</v>
      </c>
      <c r="W22" s="20"/>
      <c r="X22" s="20"/>
      <c r="Y22" s="20"/>
      <c r="Z22" s="20"/>
      <c r="AA22" s="20"/>
      <c r="AB22" s="20"/>
      <c r="AC22" s="20"/>
      <c r="AD22" s="20"/>
      <c r="AE22" s="20"/>
      <c r="AF22" s="20"/>
      <c r="AG22" s="20"/>
      <c r="AH22" s="20"/>
      <c r="AI22" s="20"/>
      <c r="AJ22" s="20"/>
    </row>
    <row r="23" spans="1:36" x14ac:dyDescent="0.3">
      <c r="A23" s="20"/>
      <c r="B23" s="20"/>
      <c r="C23" s="20"/>
      <c r="D23" s="20"/>
      <c r="E23" s="20"/>
      <c r="F23" s="20"/>
      <c r="G23" s="20"/>
      <c r="H23" s="20"/>
      <c r="I23" s="20"/>
      <c r="J23" s="20"/>
      <c r="K23" s="20"/>
      <c r="L23" s="20"/>
      <c r="M23" s="20"/>
      <c r="N23" s="20"/>
      <c r="O23" s="20"/>
      <c r="P23" s="30" t="str">
        <v>C0011</v>
      </c>
      <c r="Q23" s="33">
        <v>1163</v>
      </c>
      <c r="R23" s="33">
        <v>1180</v>
      </c>
      <c r="S23" s="33">
        <v>1616</v>
      </c>
      <c r="T23" s="33">
        <v>1043</v>
      </c>
      <c r="U23" s="33">
        <v>1747</v>
      </c>
      <c r="V23" s="34">
        <v>6749</v>
      </c>
      <c r="W23" s="20"/>
      <c r="X23" s="20"/>
      <c r="Y23" s="20"/>
      <c r="Z23" s="20"/>
      <c r="AA23" s="20"/>
      <c r="AB23" s="20"/>
      <c r="AC23" s="20"/>
      <c r="AD23" s="20"/>
      <c r="AE23" s="20"/>
      <c r="AF23" s="20"/>
      <c r="AG23" s="20"/>
      <c r="AH23" s="20"/>
      <c r="AI23" s="20"/>
      <c r="AJ23" s="20"/>
    </row>
    <row r="24" spans="1:36" x14ac:dyDescent="0.3">
      <c r="A24" s="20"/>
      <c r="B24" s="20"/>
      <c r="C24" s="20"/>
      <c r="D24" s="20"/>
      <c r="E24" s="20"/>
      <c r="F24" s="20"/>
      <c r="G24" s="20"/>
      <c r="H24" s="20"/>
      <c r="I24" s="20"/>
      <c r="J24" s="20"/>
      <c r="K24" s="20"/>
      <c r="L24" s="20"/>
      <c r="M24" s="20"/>
      <c r="N24" s="20"/>
      <c r="O24" s="20"/>
      <c r="P24" s="30" t="str">
        <v>C0012</v>
      </c>
      <c r="Q24" s="33">
        <v>1438</v>
      </c>
      <c r="R24" s="33">
        <v>1616</v>
      </c>
      <c r="S24" s="33">
        <v>866</v>
      </c>
      <c r="T24" s="33">
        <v>829</v>
      </c>
      <c r="U24" s="33">
        <v>2070</v>
      </c>
      <c r="V24" s="34">
        <v>6819</v>
      </c>
      <c r="W24" s="20"/>
      <c r="X24" s="20"/>
      <c r="Y24" s="20"/>
      <c r="Z24" s="20"/>
      <c r="AA24" s="20"/>
      <c r="AB24" s="20"/>
      <c r="AC24" s="20"/>
      <c r="AD24" s="20"/>
      <c r="AE24" s="20"/>
      <c r="AF24" s="20"/>
      <c r="AG24" s="20"/>
      <c r="AH24" s="20"/>
      <c r="AI24" s="20"/>
      <c r="AJ24" s="20"/>
    </row>
    <row r="25" spans="1:36" x14ac:dyDescent="0.3">
      <c r="A25" s="20"/>
      <c r="B25" s="20"/>
      <c r="C25" s="20"/>
      <c r="D25" s="20"/>
      <c r="E25" s="20"/>
      <c r="F25" s="20"/>
      <c r="G25" s="20"/>
      <c r="H25" s="20"/>
      <c r="I25" s="20"/>
      <c r="J25" s="20"/>
      <c r="K25" s="20"/>
      <c r="L25" s="20"/>
      <c r="M25" s="20"/>
      <c r="N25" s="20"/>
      <c r="O25" s="20"/>
      <c r="P25" s="41" t="str">
        <v>Cleveland</v>
      </c>
      <c r="Q25" s="33" t="str">
        <v/>
      </c>
      <c r="R25" s="33" t="str">
        <v/>
      </c>
      <c r="S25" s="33" t="str">
        <v/>
      </c>
      <c r="T25" s="33" t="str">
        <v/>
      </c>
      <c r="U25" s="33" t="str">
        <v/>
      </c>
      <c r="V25" s="34" t="str">
        <v/>
      </c>
      <c r="W25" s="20"/>
      <c r="X25" s="20"/>
      <c r="Y25" s="20"/>
      <c r="Z25" s="20"/>
      <c r="AA25" s="20"/>
      <c r="AB25" s="20"/>
      <c r="AC25" s="20"/>
      <c r="AD25" s="20"/>
      <c r="AE25" s="20"/>
      <c r="AF25" s="20"/>
      <c r="AG25" s="20"/>
      <c r="AH25" s="20"/>
      <c r="AI25" s="20"/>
      <c r="AJ25" s="20"/>
    </row>
    <row r="26" spans="1:36" x14ac:dyDescent="0.3">
      <c r="A26" s="20"/>
      <c r="B26" s="20"/>
      <c r="C26" s="20"/>
      <c r="D26" s="20"/>
      <c r="E26" s="20"/>
      <c r="F26" s="20"/>
      <c r="G26" s="20"/>
      <c r="H26" s="20"/>
      <c r="I26" s="20"/>
      <c r="J26" s="20"/>
      <c r="K26" s="20"/>
      <c r="L26" s="20"/>
      <c r="M26" s="20"/>
      <c r="N26" s="20"/>
      <c r="O26" s="20"/>
      <c r="P26" s="30" t="str">
        <v>C0002</v>
      </c>
      <c r="Q26" s="33">
        <v>1233</v>
      </c>
      <c r="R26" s="33">
        <v>223</v>
      </c>
      <c r="S26" s="33">
        <v>1680</v>
      </c>
      <c r="T26" s="33">
        <v>990</v>
      </c>
      <c r="U26" s="33">
        <v>1508</v>
      </c>
      <c r="V26" s="34">
        <v>5634</v>
      </c>
      <c r="W26" s="20"/>
      <c r="X26" s="20"/>
      <c r="Y26" s="20"/>
      <c r="Z26" s="20"/>
      <c r="AA26" s="20"/>
      <c r="AB26" s="20"/>
      <c r="AC26" s="20"/>
      <c r="AD26" s="20"/>
      <c r="AE26" s="20"/>
      <c r="AF26" s="20"/>
      <c r="AG26" s="20"/>
      <c r="AH26" s="20"/>
      <c r="AI26" s="20"/>
      <c r="AJ26" s="20"/>
    </row>
    <row r="27" spans="1:36" x14ac:dyDescent="0.3">
      <c r="A27" s="20"/>
      <c r="B27" s="20"/>
      <c r="C27" s="20"/>
      <c r="D27" s="20"/>
      <c r="E27" s="20"/>
      <c r="F27" s="20"/>
      <c r="G27" s="20"/>
      <c r="H27" s="20"/>
      <c r="I27" s="20"/>
      <c r="J27" s="20"/>
      <c r="K27" s="20"/>
      <c r="L27" s="20"/>
      <c r="M27" s="20"/>
      <c r="N27" s="20"/>
      <c r="O27" s="20"/>
      <c r="P27" s="30" t="str">
        <v>C0007</v>
      </c>
      <c r="Q27" s="33">
        <v>1598</v>
      </c>
      <c r="R27" s="33">
        <v>1907</v>
      </c>
      <c r="S27" s="33">
        <v>869</v>
      </c>
      <c r="T27" s="33">
        <v>1426</v>
      </c>
      <c r="U27" s="33">
        <v>1416</v>
      </c>
      <c r="V27" s="34">
        <v>7216</v>
      </c>
      <c r="W27" s="20"/>
      <c r="X27" s="20"/>
      <c r="Y27" s="20"/>
      <c r="Z27" s="20"/>
      <c r="AA27" s="20"/>
      <c r="AB27" s="20"/>
      <c r="AC27" s="20"/>
      <c r="AD27" s="20"/>
      <c r="AE27" s="20"/>
      <c r="AF27" s="20"/>
      <c r="AG27" s="20"/>
      <c r="AH27" s="20"/>
      <c r="AI27" s="20"/>
      <c r="AJ27" s="20"/>
    </row>
    <row r="28" spans="1:36" x14ac:dyDescent="0.3">
      <c r="A28" s="20"/>
      <c r="B28" s="20"/>
      <c r="C28" s="20"/>
      <c r="D28" s="20"/>
      <c r="E28" s="20"/>
      <c r="F28" s="20"/>
      <c r="G28" s="20"/>
      <c r="H28" s="20"/>
      <c r="I28" s="20"/>
      <c r="J28" s="20"/>
      <c r="K28" s="20"/>
      <c r="L28" s="20"/>
      <c r="M28" s="20"/>
      <c r="N28" s="20"/>
      <c r="O28" s="20"/>
      <c r="P28" s="30" t="str">
        <v>C0008</v>
      </c>
      <c r="Q28" s="33">
        <v>900</v>
      </c>
      <c r="R28" s="33">
        <v>1016</v>
      </c>
      <c r="S28" s="33">
        <v>960</v>
      </c>
      <c r="T28" s="33">
        <v>940</v>
      </c>
      <c r="U28" s="33">
        <v>1193</v>
      </c>
      <c r="V28" s="34">
        <v>5009</v>
      </c>
      <c r="W28" s="20"/>
      <c r="X28" s="20"/>
      <c r="Y28" s="20"/>
      <c r="Z28" s="20"/>
      <c r="AA28" s="20"/>
      <c r="AB28" s="20"/>
      <c r="AC28" s="20"/>
      <c r="AD28" s="20"/>
      <c r="AE28" s="20"/>
      <c r="AF28" s="20"/>
      <c r="AG28" s="20"/>
      <c r="AH28" s="20"/>
      <c r="AI28" s="20"/>
      <c r="AJ28" s="20"/>
    </row>
    <row r="29" spans="1:36" x14ac:dyDescent="0.3">
      <c r="A29" s="20"/>
      <c r="B29" s="20"/>
      <c r="C29" s="20"/>
      <c r="D29" s="20"/>
      <c r="E29" s="20"/>
      <c r="F29" s="20"/>
      <c r="G29" s="20"/>
      <c r="H29" s="20"/>
      <c r="I29" s="20"/>
      <c r="J29" s="20"/>
      <c r="K29" s="20"/>
      <c r="L29" s="43"/>
      <c r="M29" s="43"/>
      <c r="N29" s="43"/>
      <c r="O29" s="20"/>
      <c r="P29" s="30" t="str">
        <v>C0010</v>
      </c>
      <c r="Q29" s="33">
        <v>900</v>
      </c>
      <c r="R29" s="33">
        <v>1470</v>
      </c>
      <c r="S29" s="33">
        <v>1617</v>
      </c>
      <c r="T29" s="33">
        <v>1314</v>
      </c>
      <c r="U29" s="33">
        <v>941</v>
      </c>
      <c r="V29" s="34">
        <v>6242</v>
      </c>
      <c r="W29" s="20"/>
      <c r="X29" s="20"/>
      <c r="Y29" s="20"/>
      <c r="Z29" s="20"/>
      <c r="AA29" s="20"/>
      <c r="AB29" s="20"/>
      <c r="AC29" s="20"/>
      <c r="AD29" s="20"/>
      <c r="AE29" s="20"/>
      <c r="AF29" s="20"/>
      <c r="AG29" s="20"/>
      <c r="AH29" s="20"/>
      <c r="AI29" s="20"/>
      <c r="AJ29" s="20"/>
    </row>
    <row r="30" spans="1:36" x14ac:dyDescent="0.3">
      <c r="A30" s="20"/>
      <c r="B30" s="20"/>
      <c r="C30" s="20"/>
      <c r="D30" s="20"/>
      <c r="E30" s="20"/>
      <c r="F30" s="20"/>
      <c r="G30" s="20"/>
      <c r="H30" s="20"/>
      <c r="I30" s="20"/>
      <c r="J30" s="20"/>
      <c r="K30" s="20"/>
      <c r="L30" s="43"/>
      <c r="M30" s="43"/>
      <c r="N30" s="43"/>
      <c r="O30" s="20"/>
      <c r="P30" s="30" t="str">
        <v>C0013</v>
      </c>
      <c r="Q30" s="33">
        <v>1255</v>
      </c>
      <c r="R30" s="33">
        <v>516</v>
      </c>
      <c r="S30" s="33">
        <v>1874</v>
      </c>
      <c r="T30" s="33">
        <v>1863</v>
      </c>
      <c r="U30" s="33">
        <v>1722</v>
      </c>
      <c r="V30" s="34">
        <v>7230</v>
      </c>
      <c r="W30" s="20"/>
      <c r="X30" s="20"/>
      <c r="Y30" s="20"/>
      <c r="Z30" s="20"/>
      <c r="AA30" s="20"/>
      <c r="AB30" s="20"/>
      <c r="AC30" s="20"/>
      <c r="AD30" s="20"/>
      <c r="AE30" s="20"/>
      <c r="AF30" s="20"/>
      <c r="AG30" s="20"/>
      <c r="AH30" s="20"/>
      <c r="AI30" s="20"/>
      <c r="AJ30" s="20"/>
    </row>
    <row r="31" spans="1:36" x14ac:dyDescent="0.3">
      <c r="A31" s="20"/>
      <c r="B31" s="20"/>
      <c r="C31" s="20"/>
      <c r="D31" s="20"/>
      <c r="E31" s="20"/>
      <c r="F31" s="20"/>
      <c r="G31" s="20"/>
      <c r="H31" s="20"/>
      <c r="I31" s="20"/>
      <c r="J31" s="20"/>
      <c r="K31" s="20"/>
      <c r="L31" s="43"/>
      <c r="M31" s="43"/>
      <c r="N31" s="43"/>
      <c r="O31" s="20"/>
      <c r="P31" s="30" t="str">
        <v>C0015</v>
      </c>
      <c r="Q31" s="33">
        <v>1138</v>
      </c>
      <c r="R31" s="33">
        <v>1898</v>
      </c>
      <c r="S31" s="33">
        <v>1482</v>
      </c>
      <c r="T31" s="33">
        <v>846</v>
      </c>
      <c r="U31" s="33">
        <v>1154</v>
      </c>
      <c r="V31" s="34">
        <v>6518</v>
      </c>
      <c r="W31" s="20"/>
      <c r="X31" s="20"/>
      <c r="Y31" s="20"/>
      <c r="Z31" s="20"/>
      <c r="AA31" s="20"/>
      <c r="AB31" s="20"/>
      <c r="AC31" s="20"/>
      <c r="AD31" s="20"/>
      <c r="AE31" s="20"/>
      <c r="AF31" s="20"/>
      <c r="AG31" s="20"/>
      <c r="AH31" s="20"/>
      <c r="AI31" s="20"/>
      <c r="AJ31" s="20"/>
    </row>
    <row r="32" spans="1:36" x14ac:dyDescent="0.3">
      <c r="A32" s="20"/>
      <c r="B32" s="20"/>
      <c r="C32" s="20"/>
      <c r="D32" s="20"/>
      <c r="E32" s="20"/>
      <c r="F32" s="20"/>
      <c r="G32" s="20"/>
      <c r="H32" s="20"/>
      <c r="I32" s="20"/>
      <c r="J32" s="20"/>
      <c r="K32" s="20"/>
      <c r="L32" s="43"/>
      <c r="M32" s="43"/>
      <c r="N32" s="43"/>
      <c r="O32" s="20"/>
      <c r="P32" s="41" t="str">
        <v>Columbus</v>
      </c>
      <c r="Q32" s="33" t="str">
        <v/>
      </c>
      <c r="R32" s="33" t="str">
        <v/>
      </c>
      <c r="S32" s="33" t="str">
        <v/>
      </c>
      <c r="T32" s="33" t="str">
        <v/>
      </c>
      <c r="U32" s="33" t="str">
        <v/>
      </c>
      <c r="V32" s="34" t="str">
        <v/>
      </c>
      <c r="W32" s="20"/>
      <c r="X32" s="20"/>
      <c r="Y32" s="20"/>
      <c r="Z32" s="20"/>
      <c r="AA32" s="20"/>
      <c r="AB32" s="20"/>
      <c r="AC32" s="20"/>
      <c r="AD32" s="20"/>
      <c r="AE32" s="20"/>
      <c r="AF32" s="20"/>
      <c r="AG32" s="20"/>
      <c r="AH32" s="20"/>
      <c r="AI32" s="20"/>
      <c r="AJ32" s="20"/>
    </row>
    <row r="33" spans="1:36" x14ac:dyDescent="0.3">
      <c r="A33" s="20"/>
      <c r="B33" s="20"/>
      <c r="C33" s="20"/>
      <c r="D33" s="20"/>
      <c r="E33" s="20"/>
      <c r="F33" s="20"/>
      <c r="G33" s="20"/>
      <c r="H33" s="20"/>
      <c r="I33" s="20"/>
      <c r="J33" s="20"/>
      <c r="K33" s="20"/>
      <c r="L33" s="43"/>
      <c r="M33" s="43"/>
      <c r="N33" s="43"/>
      <c r="O33" s="20"/>
      <c r="P33" s="30" t="str">
        <v>C0001</v>
      </c>
      <c r="Q33" s="33">
        <v>1655</v>
      </c>
      <c r="R33" s="33">
        <v>805</v>
      </c>
      <c r="S33" s="33">
        <v>2263</v>
      </c>
      <c r="T33" s="33">
        <v>987</v>
      </c>
      <c r="U33" s="33">
        <v>1075</v>
      </c>
      <c r="V33" s="34">
        <v>6785</v>
      </c>
      <c r="W33" s="20"/>
      <c r="X33" s="20"/>
      <c r="Y33" s="20"/>
      <c r="Z33" s="20"/>
      <c r="AA33" s="20"/>
      <c r="AB33" s="20"/>
      <c r="AC33" s="20"/>
      <c r="AD33" s="20"/>
      <c r="AE33" s="20"/>
      <c r="AF33" s="20"/>
      <c r="AG33" s="20"/>
      <c r="AH33" s="20"/>
      <c r="AI33" s="20"/>
      <c r="AJ33" s="20"/>
    </row>
    <row r="34" spans="1:36" ht="15.6" x14ac:dyDescent="0.3">
      <c r="A34" s="20"/>
      <c r="B34" s="20"/>
      <c r="C34" s="20"/>
      <c r="D34" s="20"/>
      <c r="E34" s="20"/>
      <c r="F34" s="20"/>
      <c r="G34" s="20"/>
      <c r="H34" s="20"/>
      <c r="I34" s="20"/>
      <c r="J34" s="20"/>
      <c r="K34" s="20"/>
      <c r="L34" s="44"/>
      <c r="M34" s="47" t="str">
        <f>pivot!K50</f>
        <v>%OF calls: 20%</v>
      </c>
      <c r="N34" s="47"/>
      <c r="O34" s="20"/>
      <c r="P34" s="30" t="str">
        <v>C0005</v>
      </c>
      <c r="Q34" s="33">
        <v>1104</v>
      </c>
      <c r="R34" s="33">
        <v>2280</v>
      </c>
      <c r="S34" s="33">
        <v>1445</v>
      </c>
      <c r="T34" s="33">
        <v>1722</v>
      </c>
      <c r="U34" s="33">
        <v>1196</v>
      </c>
      <c r="V34" s="34">
        <v>7747</v>
      </c>
      <c r="W34" s="20"/>
      <c r="X34" s="20"/>
      <c r="Y34" s="20"/>
      <c r="Z34" s="20"/>
      <c r="AA34" s="20"/>
      <c r="AB34" s="20"/>
      <c r="AC34" s="20"/>
      <c r="AD34" s="20"/>
      <c r="AE34" s="20"/>
      <c r="AF34" s="20"/>
      <c r="AG34" s="20"/>
      <c r="AH34" s="20"/>
      <c r="AI34" s="20"/>
      <c r="AJ34" s="20"/>
    </row>
    <row r="35" spans="1:36" ht="15.6" x14ac:dyDescent="0.3">
      <c r="A35" s="20"/>
      <c r="B35" s="20"/>
      <c r="C35" s="20"/>
      <c r="D35" s="20"/>
      <c r="E35" s="20"/>
      <c r="F35" s="20"/>
      <c r="G35" s="20"/>
      <c r="H35" s="20"/>
      <c r="I35" s="20"/>
      <c r="J35" s="20"/>
      <c r="K35" s="20"/>
      <c r="L35" s="44"/>
      <c r="M35" s="47" t="str">
        <f>pivot!K51</f>
        <v>Call Rank: 3</v>
      </c>
      <c r="N35" s="47"/>
      <c r="O35" s="20"/>
      <c r="P35" s="30" t="str">
        <v>C0006</v>
      </c>
      <c r="Q35" s="33">
        <v>372</v>
      </c>
      <c r="R35" s="33">
        <v>1818</v>
      </c>
      <c r="S35" s="33">
        <v>1346</v>
      </c>
      <c r="T35" s="33">
        <v>1156</v>
      </c>
      <c r="U35" s="33">
        <v>1484</v>
      </c>
      <c r="V35" s="34">
        <v>6176</v>
      </c>
      <c r="W35" s="20"/>
      <c r="X35" s="20"/>
      <c r="Y35" s="20"/>
      <c r="Z35" s="20"/>
      <c r="AA35" s="20"/>
      <c r="AB35" s="20"/>
      <c r="AC35" s="20"/>
      <c r="AD35" s="20"/>
      <c r="AE35" s="20"/>
      <c r="AF35" s="20"/>
      <c r="AG35" s="20"/>
      <c r="AH35" s="20"/>
      <c r="AI35" s="20"/>
      <c r="AJ35" s="20"/>
    </row>
    <row r="36" spans="1:36" ht="15.6" x14ac:dyDescent="0.3">
      <c r="A36" s="20"/>
      <c r="B36" s="20"/>
      <c r="C36" s="20"/>
      <c r="D36" s="20"/>
      <c r="E36" s="20"/>
      <c r="F36" s="20"/>
      <c r="G36" s="20"/>
      <c r="H36" s="20"/>
      <c r="I36" s="20"/>
      <c r="J36" s="20"/>
      <c r="K36" s="20"/>
      <c r="L36" s="44"/>
      <c r="M36" s="47" t="str">
        <f>pivot!K52</f>
        <v>Amount Rank: 3</v>
      </c>
      <c r="N36" s="47"/>
      <c r="O36" s="20"/>
      <c r="P36" s="30" t="str">
        <v>C0009</v>
      </c>
      <c r="Q36" s="33">
        <v>1415</v>
      </c>
      <c r="R36" s="33">
        <v>1271</v>
      </c>
      <c r="S36" s="33">
        <v>1214</v>
      </c>
      <c r="T36" s="33">
        <v>1135</v>
      </c>
      <c r="U36" s="33">
        <v>1566</v>
      </c>
      <c r="V36" s="34">
        <v>6601</v>
      </c>
      <c r="W36" s="20"/>
      <c r="X36" s="20"/>
      <c r="Y36" s="20"/>
      <c r="Z36" s="20"/>
      <c r="AA36" s="20"/>
      <c r="AB36" s="20"/>
      <c r="AC36" s="20"/>
      <c r="AD36" s="20"/>
      <c r="AE36" s="20"/>
      <c r="AF36" s="20"/>
      <c r="AG36" s="20"/>
      <c r="AH36" s="20"/>
      <c r="AI36" s="20"/>
      <c r="AJ36" s="20"/>
    </row>
    <row r="37" spans="1:36" x14ac:dyDescent="0.3">
      <c r="A37" s="20"/>
      <c r="B37" s="20"/>
      <c r="C37" s="20"/>
      <c r="D37" s="20"/>
      <c r="E37" s="20"/>
      <c r="F37" s="20"/>
      <c r="G37" s="20"/>
      <c r="H37" s="20"/>
      <c r="I37" s="20"/>
      <c r="J37" s="20"/>
      <c r="K37" s="20"/>
      <c r="L37" s="44"/>
      <c r="M37" s="44"/>
      <c r="N37" s="44"/>
      <c r="O37" s="20"/>
      <c r="P37" s="35" t="str">
        <v>C0014</v>
      </c>
      <c r="Q37" s="36">
        <v>1362</v>
      </c>
      <c r="R37" s="36">
        <v>1363</v>
      </c>
      <c r="S37" s="36">
        <v>1152</v>
      </c>
      <c r="T37" s="36">
        <v>777</v>
      </c>
      <c r="U37" s="36">
        <v>750</v>
      </c>
      <c r="V37" s="37">
        <v>5404</v>
      </c>
      <c r="W37" s="20"/>
      <c r="X37" s="20"/>
      <c r="Y37" s="20"/>
      <c r="Z37" s="20"/>
      <c r="AA37" s="20"/>
      <c r="AB37" s="20"/>
      <c r="AC37" s="20"/>
      <c r="AD37" s="20"/>
      <c r="AE37" s="20"/>
      <c r="AF37" s="20"/>
      <c r="AG37" s="20"/>
      <c r="AH37" s="20"/>
      <c r="AI37" s="20"/>
      <c r="AJ37" s="20"/>
    </row>
    <row r="38" spans="1:36"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row>
    <row r="39" spans="1:36"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row>
    <row r="40" spans="1:36"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row>
    <row r="41" spans="1:36"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row>
    <row r="42" spans="1:36"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row>
    <row r="43" spans="1:36"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row>
    <row r="44" spans="1:36"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row>
    <row r="45" spans="1:36"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row>
    <row r="46" spans="1:36"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row>
    <row r="47" spans="1:36" x14ac:dyDescent="0.3">
      <c r="A47" s="20"/>
      <c r="B47" s="20"/>
      <c r="C47" s="20"/>
      <c r="D47" s="20"/>
      <c r="E47" s="20" t="s">
        <v>1077</v>
      </c>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row>
    <row r="48" spans="1:36"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row>
    <row r="49" spans="1:36"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row>
    <row r="50" spans="1:36"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row>
  </sheetData>
  <mergeCells count="2">
    <mergeCell ref="L29:N33"/>
    <mergeCell ref="C1:H1"/>
  </mergeCells>
  <conditionalFormatting sqref="Q19:U37">
    <cfRule type="expression" dxfId="0" priority="5">
      <formula>$Q$19=$A$43</formula>
    </cfRule>
  </conditionalFormatting>
  <conditionalFormatting sqref="Q21:U37">
    <cfRule type="dataBar" priority="3">
      <dataBar>
        <cfvo type="num" val="0"/>
        <cfvo type="formula" val="MAX($Q$21:$U$37)*2"/>
        <color theme="4" tint="0.59999389629810485"/>
      </dataBar>
      <extLst>
        <ext xmlns:x14="http://schemas.microsoft.com/office/spreadsheetml/2009/9/main" uri="{B025F937-C7B1-47D3-B67F-A62EFF666E3E}">
          <x14:id>{C6A41553-49C1-4AA9-A93E-F36D29A6CFC5}</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4" id="{AB45EF6C-8728-4BB1-93B2-84D05F86418C}">
            <xm:f>Q$19=pivot!$A$43</xm:f>
            <x14:dxf>
              <fill>
                <patternFill>
                  <bgColor theme="8" tint="0.59996337778862885"/>
                </patternFill>
              </fill>
              <border>
                <left style="thin">
                  <color theme="8" tint="-0.24994659260841701"/>
                </left>
                <right style="thin">
                  <color theme="8" tint="-0.24994659260841701"/>
                </right>
                <vertical/>
                <horizontal/>
              </border>
            </x14:dxf>
          </x14:cfRule>
          <xm:sqref>Q19:U37</xm:sqref>
        </x14:conditionalFormatting>
        <x14:conditionalFormatting xmlns:xm="http://schemas.microsoft.com/office/excel/2006/main">
          <x14:cfRule type="dataBar" id="{C6A41553-49C1-4AA9-A93E-F36D29A6CFC5}">
            <x14:dataBar minLength="0" maxLength="100" gradient="0">
              <x14:cfvo type="num">
                <xm:f>0</xm:f>
              </x14:cfvo>
              <x14:cfvo type="formula">
                <xm:f>MAX($Q$21:$U$37)*2</xm:f>
              </x14:cfvo>
              <x14:negativeFillColor rgb="FFFF0000"/>
              <x14:axisColor rgb="FF000000"/>
            </x14:dataBar>
          </x14:cfRule>
          <xm:sqref>Q21:U37</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58" zoomScaleNormal="204" workbookViewId="0">
      <selection activeCell="C4" sqref="C4"/>
    </sheetView>
  </sheetViews>
  <sheetFormatPr defaultRowHeight="14.4" x14ac:dyDescent="0.3"/>
  <cols>
    <col min="5" max="5" width="10.8984375" customWidth="1"/>
    <col min="6" max="6" width="12.3984375" customWidth="1"/>
  </cols>
  <sheetData>
    <row r="2" spans="5:6" x14ac:dyDescent="0.3">
      <c r="E2" t="s">
        <v>1040</v>
      </c>
      <c r="F2" t="s">
        <v>1041</v>
      </c>
    </row>
    <row r="3" spans="5:6" ht="48" customHeight="1" x14ac:dyDescent="0.3">
      <c r="E3" t="s">
        <v>11</v>
      </c>
    </row>
    <row r="4" spans="5:6" ht="58.2" customHeight="1" x14ac:dyDescent="0.3">
      <c r="E4" t="s">
        <v>9</v>
      </c>
    </row>
    <row r="5" spans="5:6" ht="51" customHeight="1" x14ac:dyDescent="0.3">
      <c r="E5" t="s">
        <v>6</v>
      </c>
    </row>
    <row r="6" spans="5:6" ht="36" customHeight="1" x14ac:dyDescent="0.3">
      <c r="E6" t="s">
        <v>13</v>
      </c>
    </row>
    <row r="7" spans="5:6" ht="45" customHeight="1" x14ac:dyDescent="0.3">
      <c r="E7" t="s">
        <v>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Data</vt:lpstr>
      <vt:lpstr>Central_Report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Mita Sisodiya</cp:lastModifiedBy>
  <dcterms:created xsi:type="dcterms:W3CDTF">2021-03-14T20:21:32Z</dcterms:created>
  <dcterms:modified xsi:type="dcterms:W3CDTF">2025-12-06T14:53:53Z</dcterms:modified>
</cp:coreProperties>
</file>